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wku\Desktop\"/>
    </mc:Choice>
  </mc:AlternateContent>
  <bookViews>
    <workbookView xWindow="0" yWindow="0" windowWidth="25605" windowHeight="12165" activeTab="3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강호동">'분석작업-2'!$I$9</definedName>
    <definedName name="과목점수" localSheetId="2">'기본작업-3'!$B$3:$J$15</definedName>
    <definedName name="백두희">'분석작업-2'!$I$12</definedName>
    <definedName name="식대">'분석작업-2'!$B$15</definedName>
    <definedName name="아파트">'기본작업-2'!$B$4:$B$6</definedName>
    <definedName name="이민주">'분석작업-2'!$I$4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9" i="4" l="1"/>
  <c r="F30" i="4"/>
  <c r="F31" i="4"/>
  <c r="F32" i="4"/>
  <c r="F33" i="4"/>
  <c r="F34" i="4"/>
  <c r="F35" i="4"/>
  <c r="F36" i="4"/>
  <c r="L25" i="4"/>
  <c r="D13" i="4"/>
  <c r="D14" i="4"/>
  <c r="D15" i="4"/>
  <c r="D16" i="4"/>
  <c r="D17" i="4"/>
  <c r="D18" i="4"/>
  <c r="D19" i="4"/>
  <c r="D20" i="4"/>
  <c r="D21" i="4"/>
  <c r="L9" i="4"/>
  <c r="L4" i="4"/>
  <c r="L5" i="4"/>
  <c r="L6" i="4"/>
  <c r="L7" i="4"/>
  <c r="L8" i="4"/>
  <c r="L3" i="4"/>
  <c r="E5" i="4"/>
  <c r="E6" i="4"/>
  <c r="E7" i="4"/>
  <c r="E8" i="4"/>
  <c r="E9" i="4"/>
  <c r="E4" i="4"/>
  <c r="E3" i="4"/>
  <c r="H5" i="7"/>
  <c r="H6" i="7"/>
  <c r="H7" i="7"/>
  <c r="H8" i="7"/>
  <c r="H9" i="7"/>
  <c r="H10" i="7"/>
  <c r="H11" i="7"/>
  <c r="H12" i="7"/>
  <c r="H13" i="7"/>
  <c r="H4" i="7"/>
  <c r="D9" i="8" l="1"/>
  <c r="E9" i="8" s="1"/>
  <c r="E8" i="8"/>
  <c r="D8" i="8"/>
  <c r="D7" i="8"/>
  <c r="E7" i="8" s="1"/>
  <c r="D6" i="8"/>
  <c r="E6" i="8" s="1"/>
  <c r="D5" i="8"/>
  <c r="E5" i="8" s="1"/>
  <c r="E4" i="8"/>
  <c r="D4" i="8"/>
  <c r="F13" i="7"/>
  <c r="D13" i="7"/>
  <c r="E13" i="7" s="1"/>
  <c r="G13" i="7" s="1"/>
  <c r="D12" i="7"/>
  <c r="D11" i="7"/>
  <c r="E11" i="7" s="1"/>
  <c r="D10" i="7"/>
  <c r="D9" i="7"/>
  <c r="E9" i="7" s="1"/>
  <c r="D8" i="7"/>
  <c r="D7" i="7"/>
  <c r="E7" i="7" s="1"/>
  <c r="D6" i="7"/>
  <c r="D5" i="7"/>
  <c r="E5" i="7" s="1"/>
  <c r="D4" i="7"/>
  <c r="I13" i="6"/>
  <c r="G13" i="6"/>
  <c r="F13" i="6"/>
  <c r="G12" i="6"/>
  <c r="F12" i="6"/>
  <c r="I12" i="6" s="1"/>
  <c r="G11" i="6"/>
  <c r="F11" i="6"/>
  <c r="I11" i="6" s="1"/>
  <c r="G10" i="6"/>
  <c r="F10" i="6"/>
  <c r="I10" i="6" s="1"/>
  <c r="G9" i="6"/>
  <c r="F9" i="6"/>
  <c r="G8" i="6"/>
  <c r="F8" i="6"/>
  <c r="G7" i="6"/>
  <c r="F7" i="6"/>
  <c r="I7" i="6" s="1"/>
  <c r="G6" i="6"/>
  <c r="F6" i="6"/>
  <c r="I6" i="6" s="1"/>
  <c r="G5" i="6"/>
  <c r="F5" i="6"/>
  <c r="I5" i="6" s="1"/>
  <c r="G4" i="6"/>
  <c r="F4" i="6"/>
  <c r="I4" i="6" s="1"/>
  <c r="D19" i="5"/>
  <c r="F19" i="5" s="1"/>
  <c r="D18" i="5"/>
  <c r="F18" i="5" s="1"/>
  <c r="D17" i="5"/>
  <c r="F17" i="5" s="1"/>
  <c r="D16" i="5"/>
  <c r="F16" i="5" s="1"/>
  <c r="D15" i="5"/>
  <c r="F15" i="5" s="1"/>
  <c r="D14" i="5"/>
  <c r="F14" i="5" s="1"/>
  <c r="D13" i="5"/>
  <c r="F13" i="5" s="1"/>
  <c r="K9" i="5"/>
  <c r="M9" i="5" s="1"/>
  <c r="D9" i="5"/>
  <c r="F9" i="5" s="1"/>
  <c r="K8" i="5"/>
  <c r="M8" i="5" s="1"/>
  <c r="D8" i="5"/>
  <c r="F8" i="5" s="1"/>
  <c r="K7" i="5"/>
  <c r="M7" i="5" s="1"/>
  <c r="D7" i="5"/>
  <c r="F7" i="5" s="1"/>
  <c r="K6" i="5"/>
  <c r="M6" i="5" s="1"/>
  <c r="D6" i="5"/>
  <c r="F6" i="5" s="1"/>
  <c r="K5" i="5"/>
  <c r="M5" i="5" s="1"/>
  <c r="D5" i="5"/>
  <c r="F5" i="5" s="1"/>
  <c r="K4" i="5"/>
  <c r="M4" i="5" s="1"/>
  <c r="D4" i="5"/>
  <c r="F4" i="5" s="1"/>
  <c r="K3" i="5"/>
  <c r="M3" i="5" s="1"/>
  <c r="D3" i="5"/>
  <c r="F3" i="5" s="1"/>
  <c r="E36" i="4"/>
  <c r="E35" i="4"/>
  <c r="E34" i="4"/>
  <c r="E33" i="4"/>
  <c r="E32" i="4"/>
  <c r="E31" i="4"/>
  <c r="E30" i="4"/>
  <c r="E29" i="4"/>
  <c r="L23" i="4"/>
  <c r="L22" i="4"/>
  <c r="L21" i="4"/>
  <c r="L20" i="4"/>
  <c r="L19" i="4"/>
  <c r="L18" i="4"/>
  <c r="L17" i="4"/>
  <c r="L16" i="4"/>
  <c r="L15" i="4"/>
  <c r="L14" i="4"/>
  <c r="L13" i="4"/>
  <c r="I8" i="6" l="1"/>
  <c r="I9" i="6"/>
  <c r="G12" i="7"/>
  <c r="F5" i="7"/>
  <c r="G5" i="7" s="1"/>
  <c r="F7" i="7"/>
  <c r="G7" i="7" s="1"/>
  <c r="F9" i="7"/>
  <c r="G9" i="7" s="1"/>
  <c r="F11" i="7"/>
  <c r="E4" i="7"/>
  <c r="G4" i="7" s="1"/>
  <c r="E6" i="7"/>
  <c r="G6" i="7" s="1"/>
  <c r="E8" i="7"/>
  <c r="G8" i="7" s="1"/>
  <c r="E10" i="7"/>
  <c r="G10" i="7" s="1"/>
  <c r="E12" i="7"/>
  <c r="G11" i="7"/>
  <c r="F4" i="7"/>
  <c r="F6" i="7"/>
  <c r="F8" i="7"/>
  <c r="F10" i="7"/>
  <c r="F12" i="7"/>
</calcChain>
</file>

<file path=xl/connections.xml><?xml version="1.0" encoding="utf-8"?>
<connections xmlns="http://schemas.openxmlformats.org/spreadsheetml/2006/main">
  <connection id="1" name="과목점수" type="6" refreshedVersion="6" background="1" saveData="1">
    <textPr codePage="949" sourceFile="C:\2023컴활2급(기출)\실전모의고사\과목점수.txt" tab="0" space="1" consecutive="1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<sst xmlns="http://schemas.openxmlformats.org/spreadsheetml/2006/main" count="426" uniqueCount="344">
  <si>
    <t>원도 컴퍼니 직원 자료</t>
    <phoneticPr fontId="1" type="noConversion"/>
  </si>
  <si>
    <t>주거형태별 소비지출 내역</t>
    <phoneticPr fontId="3" type="noConversion"/>
  </si>
  <si>
    <t>세대주</t>
    <phoneticPr fontId="3" type="noConversion"/>
  </si>
  <si>
    <t>주거형태</t>
    <phoneticPr fontId="3" type="noConversion"/>
  </si>
  <si>
    <t>가족수</t>
    <phoneticPr fontId="3" type="noConversion"/>
  </si>
  <si>
    <t>월소득</t>
    <phoneticPr fontId="3" type="noConversion"/>
  </si>
  <si>
    <t>피복비</t>
    <phoneticPr fontId="3" type="noConversion"/>
  </si>
  <si>
    <t>식비</t>
    <phoneticPr fontId="3" type="noConversion"/>
  </si>
  <si>
    <t>문화생활비</t>
    <phoneticPr fontId="3" type="noConversion"/>
  </si>
  <si>
    <t>이민형</t>
    <phoneticPr fontId="3" type="noConversion"/>
  </si>
  <si>
    <t>아파트</t>
    <phoneticPr fontId="3" type="noConversion"/>
  </si>
  <si>
    <t>김태주</t>
    <phoneticPr fontId="3" type="noConversion"/>
  </si>
  <si>
    <t>변소연</t>
    <phoneticPr fontId="3" type="noConversion"/>
  </si>
  <si>
    <t>아파트</t>
    <phoneticPr fontId="1" type="noConversion"/>
  </si>
  <si>
    <t>송재훈</t>
    <phoneticPr fontId="3" type="noConversion"/>
  </si>
  <si>
    <t>빌라</t>
    <phoneticPr fontId="3" type="noConversion"/>
  </si>
  <si>
    <t>박경운</t>
    <phoneticPr fontId="3" type="noConversion"/>
  </si>
  <si>
    <t>단독주택</t>
    <phoneticPr fontId="3" type="noConversion"/>
  </si>
  <si>
    <t>진경순</t>
    <phoneticPr fontId="3" type="noConversion"/>
  </si>
  <si>
    <t>최영국</t>
    <phoneticPr fontId="3" type="noConversion"/>
  </si>
  <si>
    <t>다가구 주택</t>
    <phoneticPr fontId="3" type="noConversion"/>
  </si>
  <si>
    <t>황준찬</t>
    <phoneticPr fontId="1" type="noConversion"/>
  </si>
  <si>
    <t>김종호</t>
    <phoneticPr fontId="1" type="noConversion"/>
  </si>
  <si>
    <t>빌라</t>
    <phoneticPr fontId="1" type="noConversion"/>
  </si>
  <si>
    <t>오안국</t>
    <phoneticPr fontId="1" type="noConversion"/>
  </si>
  <si>
    <t>단독주택</t>
    <phoneticPr fontId="3" type="noConversion"/>
  </si>
  <si>
    <t>평균</t>
    <phoneticPr fontId="1" type="noConversion"/>
  </si>
  <si>
    <t>컴퓨터공학 과목점수 현황</t>
    <phoneticPr fontId="1" type="noConversion"/>
  </si>
  <si>
    <t>[표1]</t>
    <phoneticPr fontId="1" type="noConversion"/>
  </si>
  <si>
    <t>자전거 동호회 회원</t>
    <phoneticPr fontId="1" type="noConversion"/>
  </si>
  <si>
    <t xml:space="preserve">[표2] </t>
    <phoneticPr fontId="1" type="noConversion"/>
  </si>
  <si>
    <t>신입사원 성적현황</t>
    <phoneticPr fontId="1" type="noConversion"/>
  </si>
  <si>
    <t>이름</t>
    <phoneticPr fontId="1" type="noConversion"/>
  </si>
  <si>
    <t>성별</t>
    <phoneticPr fontId="1" type="noConversion"/>
  </si>
  <si>
    <t>지역</t>
    <phoneticPr fontId="1" type="noConversion"/>
  </si>
  <si>
    <t>주민등록번호</t>
    <phoneticPr fontId="1" type="noConversion"/>
  </si>
  <si>
    <t>생년월일</t>
    <phoneticPr fontId="1" type="noConversion"/>
  </si>
  <si>
    <t>이름</t>
    <phoneticPr fontId="1" type="noConversion"/>
  </si>
  <si>
    <t>외국어</t>
    <phoneticPr fontId="1" type="noConversion"/>
  </si>
  <si>
    <t>일반상식</t>
    <phoneticPr fontId="1" type="noConversion"/>
  </si>
  <si>
    <t>면접</t>
    <phoneticPr fontId="1" type="noConversion"/>
  </si>
  <si>
    <t>합격여부</t>
    <phoneticPr fontId="1" type="noConversion"/>
  </si>
  <si>
    <t>이주연</t>
    <phoneticPr fontId="1" type="noConversion"/>
  </si>
  <si>
    <t>여</t>
    <phoneticPr fontId="1" type="noConversion"/>
  </si>
  <si>
    <t>서초동</t>
    <phoneticPr fontId="1" type="noConversion"/>
  </si>
  <si>
    <t>900424-2416488</t>
    <phoneticPr fontId="1" type="noConversion"/>
  </si>
  <si>
    <t>박현주</t>
    <phoneticPr fontId="1" type="noConversion"/>
  </si>
  <si>
    <t>여</t>
    <phoneticPr fontId="1" type="noConversion"/>
  </si>
  <si>
    <t>정민찬</t>
    <phoneticPr fontId="1" type="noConversion"/>
  </si>
  <si>
    <t>남</t>
    <phoneticPr fontId="1" type="noConversion"/>
  </si>
  <si>
    <t>잠원동</t>
    <phoneticPr fontId="1" type="noConversion"/>
  </si>
  <si>
    <t>911211-1166461</t>
    <phoneticPr fontId="1" type="noConversion"/>
  </si>
  <si>
    <t>강진욱</t>
    <phoneticPr fontId="1" type="noConversion"/>
  </si>
  <si>
    <t>강미경</t>
    <phoneticPr fontId="1" type="noConversion"/>
  </si>
  <si>
    <t>여</t>
    <phoneticPr fontId="1" type="noConversion"/>
  </si>
  <si>
    <t>반포</t>
    <phoneticPr fontId="1" type="noConversion"/>
  </si>
  <si>
    <t>920614-2244986</t>
    <phoneticPr fontId="1" type="noConversion"/>
  </si>
  <si>
    <t>고유경</t>
    <phoneticPr fontId="1" type="noConversion"/>
  </si>
  <si>
    <t>최영찬</t>
    <phoneticPr fontId="1" type="noConversion"/>
  </si>
  <si>
    <t>남</t>
    <phoneticPr fontId="1" type="noConversion"/>
  </si>
  <si>
    <t>양재동</t>
    <phoneticPr fontId="1" type="noConversion"/>
  </si>
  <si>
    <t>901011-1269844</t>
    <phoneticPr fontId="1" type="noConversion"/>
  </si>
  <si>
    <t>이수창</t>
    <phoneticPr fontId="1" type="noConversion"/>
  </si>
  <si>
    <t>남</t>
    <phoneticPr fontId="1" type="noConversion"/>
  </si>
  <si>
    <t>황영미</t>
    <phoneticPr fontId="1" type="noConversion"/>
  </si>
  <si>
    <t>우면동</t>
    <phoneticPr fontId="1" type="noConversion"/>
  </si>
  <si>
    <t>910206-2249896</t>
    <phoneticPr fontId="1" type="noConversion"/>
  </si>
  <si>
    <t>한현숙</t>
    <phoneticPr fontId="1" type="noConversion"/>
  </si>
  <si>
    <t>박소희</t>
    <phoneticPr fontId="1" type="noConversion"/>
  </si>
  <si>
    <t>여</t>
    <phoneticPr fontId="1" type="noConversion"/>
  </si>
  <si>
    <t>논현동</t>
    <phoneticPr fontId="1" type="noConversion"/>
  </si>
  <si>
    <t>891119-2426946</t>
    <phoneticPr fontId="1" type="noConversion"/>
  </si>
  <si>
    <t>나영림</t>
    <phoneticPr fontId="1" type="noConversion"/>
  </si>
  <si>
    <t>김지영</t>
    <phoneticPr fontId="1" type="noConversion"/>
  </si>
  <si>
    <t>역삼동</t>
    <phoneticPr fontId="1" type="noConversion"/>
  </si>
  <si>
    <t>880808-2446914</t>
    <phoneticPr fontId="1" type="noConversion"/>
  </si>
  <si>
    <t>최영수</t>
    <phoneticPr fontId="1" type="noConversion"/>
  </si>
  <si>
    <t xml:space="preserve">[표3] </t>
    <phoneticPr fontId="1" type="noConversion"/>
  </si>
  <si>
    <t>등급 분류표</t>
    <phoneticPr fontId="1" type="noConversion"/>
  </si>
  <si>
    <t xml:space="preserve">[표4] </t>
    <phoneticPr fontId="1" type="noConversion"/>
  </si>
  <si>
    <t>대리점별 제품 판매 현황</t>
    <phoneticPr fontId="1" type="noConversion"/>
  </si>
  <si>
    <t>번호</t>
    <phoneticPr fontId="1" type="noConversion"/>
  </si>
  <si>
    <t>성명</t>
  </si>
  <si>
    <t>점수</t>
    <phoneticPr fontId="1" type="noConversion"/>
  </si>
  <si>
    <t>등급</t>
    <phoneticPr fontId="1" type="noConversion"/>
  </si>
  <si>
    <t>대리점</t>
    <phoneticPr fontId="1" type="noConversion"/>
  </si>
  <si>
    <t>제품코드</t>
    <phoneticPr fontId="1" type="noConversion"/>
  </si>
  <si>
    <t>제품명</t>
    <phoneticPr fontId="1" type="noConversion"/>
  </si>
  <si>
    <t>판매가</t>
    <phoneticPr fontId="1" type="noConversion"/>
  </si>
  <si>
    <t>판매량</t>
    <phoneticPr fontId="1" type="noConversion"/>
  </si>
  <si>
    <t>판매금액</t>
    <phoneticPr fontId="1" type="noConversion"/>
  </si>
  <si>
    <t>최창희</t>
    <phoneticPr fontId="1" type="noConversion"/>
  </si>
  <si>
    <t>인천</t>
    <phoneticPr fontId="1" type="noConversion"/>
  </si>
  <si>
    <t>SR-1025</t>
  </si>
  <si>
    <t>에어컨</t>
  </si>
  <si>
    <t>임경모</t>
    <phoneticPr fontId="1" type="noConversion"/>
  </si>
  <si>
    <t>강원</t>
    <phoneticPr fontId="1" type="noConversion"/>
  </si>
  <si>
    <t>VO-0823</t>
  </si>
  <si>
    <t>세탁기</t>
  </si>
  <si>
    <t>강현숙</t>
    <phoneticPr fontId="1" type="noConversion"/>
  </si>
  <si>
    <t>경기</t>
    <phoneticPr fontId="1" type="noConversion"/>
  </si>
  <si>
    <t>TV-1201</t>
  </si>
  <si>
    <t>TV</t>
  </si>
  <si>
    <t>김지혜</t>
    <phoneticPr fontId="1" type="noConversion"/>
  </si>
  <si>
    <t>서울</t>
    <phoneticPr fontId="1" type="noConversion"/>
  </si>
  <si>
    <t>전우진</t>
    <phoneticPr fontId="1" type="noConversion"/>
  </si>
  <si>
    <t>대구</t>
    <phoneticPr fontId="1" type="noConversion"/>
  </si>
  <si>
    <t>강호영</t>
    <phoneticPr fontId="1" type="noConversion"/>
  </si>
  <si>
    <t>부산</t>
    <phoneticPr fontId="1" type="noConversion"/>
  </si>
  <si>
    <t>박수창</t>
    <phoneticPr fontId="1" type="noConversion"/>
  </si>
  <si>
    <t>이건모</t>
    <phoneticPr fontId="1" type="noConversion"/>
  </si>
  <si>
    <t>대전</t>
    <phoneticPr fontId="1" type="noConversion"/>
  </si>
  <si>
    <t>황우식</t>
    <phoneticPr fontId="1" type="noConversion"/>
  </si>
  <si>
    <t>원주</t>
    <phoneticPr fontId="1" type="noConversion"/>
  </si>
  <si>
    <t>제주</t>
    <phoneticPr fontId="1" type="noConversion"/>
  </si>
  <si>
    <t>[등급표]</t>
    <phoneticPr fontId="1" type="noConversion"/>
  </si>
  <si>
    <t>전주</t>
    <phoneticPr fontId="1" type="noConversion"/>
  </si>
  <si>
    <t>등급</t>
    <phoneticPr fontId="1" type="noConversion"/>
  </si>
  <si>
    <t>D</t>
    <phoneticPr fontId="1" type="noConversion"/>
  </si>
  <si>
    <t>C</t>
    <phoneticPr fontId="1" type="noConversion"/>
  </si>
  <si>
    <t>B</t>
    <phoneticPr fontId="1" type="noConversion"/>
  </si>
  <si>
    <t>A</t>
    <phoneticPr fontId="1" type="noConversion"/>
  </si>
  <si>
    <t>세탁기 판매 우수 대리점</t>
    <phoneticPr fontId="1" type="noConversion"/>
  </si>
  <si>
    <t xml:space="preserve">[표5] </t>
  </si>
  <si>
    <t>100m 달리기 대표선수 선발 결과</t>
    <phoneticPr fontId="1" type="noConversion"/>
  </si>
  <si>
    <t>1차</t>
    <phoneticPr fontId="1" type="noConversion"/>
  </si>
  <si>
    <t>2차</t>
    <phoneticPr fontId="1" type="noConversion"/>
  </si>
  <si>
    <t>3차</t>
    <phoneticPr fontId="1" type="noConversion"/>
  </si>
  <si>
    <t>평균</t>
    <phoneticPr fontId="1" type="noConversion"/>
  </si>
  <si>
    <t>최종결과</t>
    <phoneticPr fontId="1" type="noConversion"/>
  </si>
  <si>
    <t>금시은</t>
    <phoneticPr fontId="1" type="noConversion"/>
  </si>
  <si>
    <t>강나경</t>
    <phoneticPr fontId="1" type="noConversion"/>
  </si>
  <si>
    <t>유전수</t>
    <phoneticPr fontId="1" type="noConversion"/>
  </si>
  <si>
    <t>이진호</t>
    <phoneticPr fontId="1" type="noConversion"/>
  </si>
  <si>
    <t>최현경</t>
    <phoneticPr fontId="1" type="noConversion"/>
  </si>
  <si>
    <t>이민영</t>
    <phoneticPr fontId="1" type="noConversion"/>
  </si>
  <si>
    <t>황유경</t>
    <phoneticPr fontId="1" type="noConversion"/>
  </si>
  <si>
    <t>문지은</t>
    <phoneticPr fontId="1" type="noConversion"/>
  </si>
  <si>
    <t>[표1] 1/4분기 가전제품 생산현황</t>
    <phoneticPr fontId="1" type="noConversion"/>
  </si>
  <si>
    <t>[표3] 3/4분기 가전제품 생산현황</t>
    <phoneticPr fontId="1" type="noConversion"/>
  </si>
  <si>
    <t>제품명</t>
    <phoneticPr fontId="1" type="noConversion"/>
  </si>
  <si>
    <t>1일생산량</t>
    <phoneticPr fontId="1" type="noConversion"/>
  </si>
  <si>
    <t>생산일수</t>
    <phoneticPr fontId="1" type="noConversion"/>
  </si>
  <si>
    <t>총생산량</t>
    <phoneticPr fontId="1" type="noConversion"/>
  </si>
  <si>
    <t>불량품</t>
    <phoneticPr fontId="1" type="noConversion"/>
  </si>
  <si>
    <t>출고량</t>
    <phoneticPr fontId="1" type="noConversion"/>
  </si>
  <si>
    <t>제품명</t>
    <phoneticPr fontId="1" type="noConversion"/>
  </si>
  <si>
    <t>생산일수</t>
    <phoneticPr fontId="1" type="noConversion"/>
  </si>
  <si>
    <t>냉장고</t>
  </si>
  <si>
    <t>청소기</t>
  </si>
  <si>
    <t>압력밥솥</t>
  </si>
  <si>
    <t>김치냉장고</t>
  </si>
  <si>
    <t>[표2] 2/4분기 가전제품 생산현황</t>
    <phoneticPr fontId="1" type="noConversion"/>
  </si>
  <si>
    <t>가전제품 생산현황(3/4분기까지)</t>
    <phoneticPr fontId="1" type="noConversion"/>
  </si>
  <si>
    <t>1일생산량</t>
    <phoneticPr fontId="1" type="noConversion"/>
  </si>
  <si>
    <t>총생산량</t>
    <phoneticPr fontId="1" type="noConversion"/>
  </si>
  <si>
    <t>출고량</t>
    <phoneticPr fontId="1" type="noConversion"/>
  </si>
  <si>
    <t>출장비 지출내역</t>
    <phoneticPr fontId="1" type="noConversion"/>
  </si>
  <si>
    <t>사원명</t>
    <phoneticPr fontId="1" type="noConversion"/>
  </si>
  <si>
    <t>직급</t>
    <phoneticPr fontId="1" type="noConversion"/>
  </si>
  <si>
    <t>출장지역</t>
    <phoneticPr fontId="1" type="noConversion"/>
  </si>
  <si>
    <t>출장기간</t>
    <phoneticPr fontId="1" type="noConversion"/>
  </si>
  <si>
    <t>교통비</t>
    <phoneticPr fontId="1" type="noConversion"/>
  </si>
  <si>
    <t>식비</t>
    <phoneticPr fontId="1" type="noConversion"/>
  </si>
  <si>
    <t>숙박비</t>
    <phoneticPr fontId="1" type="noConversion"/>
  </si>
  <si>
    <t>부대비용</t>
    <phoneticPr fontId="1" type="noConversion"/>
  </si>
  <si>
    <t>총합계</t>
    <phoneticPr fontId="1" type="noConversion"/>
  </si>
  <si>
    <t>이민주</t>
    <phoneticPr fontId="1" type="noConversion"/>
  </si>
  <si>
    <t>과장</t>
    <phoneticPr fontId="1" type="noConversion"/>
  </si>
  <si>
    <t>광주</t>
    <phoneticPr fontId="1" type="noConversion"/>
  </si>
  <si>
    <t>강소영</t>
    <phoneticPr fontId="1" type="noConversion"/>
  </si>
  <si>
    <t>사원</t>
    <phoneticPr fontId="1" type="noConversion"/>
  </si>
  <si>
    <t>대전</t>
    <phoneticPr fontId="1" type="noConversion"/>
  </si>
  <si>
    <t>문수경</t>
    <phoneticPr fontId="1" type="noConversion"/>
  </si>
  <si>
    <t>대리</t>
    <phoneticPr fontId="1" type="noConversion"/>
  </si>
  <si>
    <t>포항</t>
    <phoneticPr fontId="1" type="noConversion"/>
  </si>
  <si>
    <t>강수지</t>
    <phoneticPr fontId="1" type="noConversion"/>
  </si>
  <si>
    <t>부장</t>
    <phoneticPr fontId="1" type="noConversion"/>
  </si>
  <si>
    <t>경주</t>
    <phoneticPr fontId="1" type="noConversion"/>
  </si>
  <si>
    <t>황윤지</t>
    <phoneticPr fontId="1" type="noConversion"/>
  </si>
  <si>
    <t>대리</t>
    <phoneticPr fontId="1" type="noConversion"/>
  </si>
  <si>
    <t>울진</t>
    <phoneticPr fontId="1" type="noConversion"/>
  </si>
  <si>
    <t>강호동</t>
    <phoneticPr fontId="1" type="noConversion"/>
  </si>
  <si>
    <t>통영</t>
    <phoneticPr fontId="1" type="noConversion"/>
  </si>
  <si>
    <t>권우직</t>
    <phoneticPr fontId="1" type="noConversion"/>
  </si>
  <si>
    <t>부산</t>
    <phoneticPr fontId="1" type="noConversion"/>
  </si>
  <si>
    <t>장주연</t>
    <phoneticPr fontId="1" type="noConversion"/>
  </si>
  <si>
    <t>진도</t>
    <phoneticPr fontId="1" type="noConversion"/>
  </si>
  <si>
    <t>백두희</t>
    <phoneticPr fontId="1" type="noConversion"/>
  </si>
  <si>
    <t>대구</t>
    <phoneticPr fontId="1" type="noConversion"/>
  </si>
  <si>
    <t>한은경</t>
    <phoneticPr fontId="1" type="noConversion"/>
  </si>
  <si>
    <t>차장</t>
    <phoneticPr fontId="1" type="noConversion"/>
  </si>
  <si>
    <t>영월</t>
    <phoneticPr fontId="1" type="noConversion"/>
  </si>
  <si>
    <t>식대</t>
    <phoneticPr fontId="1" type="noConversion"/>
  </si>
  <si>
    <t>급여 지급 현황</t>
    <phoneticPr fontId="1" type="noConversion"/>
  </si>
  <si>
    <t>성명</t>
    <phoneticPr fontId="1" type="noConversion"/>
  </si>
  <si>
    <t>직위</t>
    <phoneticPr fontId="1" type="noConversion"/>
  </si>
  <si>
    <t>호봉</t>
    <phoneticPr fontId="1" type="noConversion"/>
  </si>
  <si>
    <t>기본급</t>
    <phoneticPr fontId="1" type="noConversion"/>
  </si>
  <si>
    <t>초과근로수당</t>
    <phoneticPr fontId="1" type="noConversion"/>
  </si>
  <si>
    <t>상여금</t>
    <phoneticPr fontId="1" type="noConversion"/>
  </si>
  <si>
    <t>세금</t>
    <phoneticPr fontId="1" type="noConversion"/>
  </si>
  <si>
    <t>실지급액</t>
    <phoneticPr fontId="1" type="noConversion"/>
  </si>
  <si>
    <t>이원민</t>
    <phoneticPr fontId="1" type="noConversion"/>
  </si>
  <si>
    <t>과장</t>
    <phoneticPr fontId="1" type="noConversion"/>
  </si>
  <si>
    <t>송가운</t>
    <phoneticPr fontId="1" type="noConversion"/>
  </si>
  <si>
    <t>사원</t>
    <phoneticPr fontId="1" type="noConversion"/>
  </si>
  <si>
    <t>강민주</t>
    <phoneticPr fontId="1" type="noConversion"/>
  </si>
  <si>
    <t>최현경</t>
    <phoneticPr fontId="1" type="noConversion"/>
  </si>
  <si>
    <t>부장</t>
    <phoneticPr fontId="1" type="noConversion"/>
  </si>
  <si>
    <t>김국진</t>
    <phoneticPr fontId="1" type="noConversion"/>
  </si>
  <si>
    <t>박소라</t>
    <phoneticPr fontId="1" type="noConversion"/>
  </si>
  <si>
    <t>신창구</t>
    <phoneticPr fontId="1" type="noConversion"/>
  </si>
  <si>
    <t>사원</t>
    <phoneticPr fontId="1" type="noConversion"/>
  </si>
  <si>
    <t>육희주</t>
    <phoneticPr fontId="1" type="noConversion"/>
  </si>
  <si>
    <t>과장</t>
    <phoneticPr fontId="1" type="noConversion"/>
  </si>
  <si>
    <t>김연아</t>
    <phoneticPr fontId="1" type="noConversion"/>
  </si>
  <si>
    <t>강나경</t>
    <phoneticPr fontId="1" type="noConversion"/>
  </si>
  <si>
    <t>핸드폰 판매 마진율 현황</t>
    <phoneticPr fontId="3" type="noConversion"/>
  </si>
  <si>
    <t>모델</t>
    <phoneticPr fontId="3" type="noConversion"/>
  </si>
  <si>
    <t>원가</t>
    <phoneticPr fontId="3" type="noConversion"/>
  </si>
  <si>
    <t>판매액</t>
    <phoneticPr fontId="3" type="noConversion"/>
  </si>
  <si>
    <t>판매이익</t>
    <phoneticPr fontId="3" type="noConversion"/>
  </si>
  <si>
    <t>마진율</t>
    <phoneticPr fontId="3" type="noConversion"/>
  </si>
  <si>
    <t>K-1011</t>
    <phoneticPr fontId="3" type="noConversion"/>
  </si>
  <si>
    <t>T-2011</t>
    <phoneticPr fontId="3" type="noConversion"/>
  </si>
  <si>
    <t>L-2031</t>
    <phoneticPr fontId="3" type="noConversion"/>
  </si>
  <si>
    <t>M-3020</t>
    <phoneticPr fontId="3" type="noConversion"/>
  </si>
  <si>
    <t>S-4013</t>
    <phoneticPr fontId="3" type="noConversion"/>
  </si>
  <si>
    <t>C-4029</t>
    <phoneticPr fontId="3" type="noConversion"/>
  </si>
  <si>
    <t>학번</t>
  </si>
  <si>
    <t>이름</t>
  </si>
  <si>
    <t>과목A</t>
  </si>
  <si>
    <t>과목B</t>
  </si>
  <si>
    <t>과목C</t>
  </si>
  <si>
    <t>과목D</t>
  </si>
  <si>
    <t>과목E</t>
  </si>
  <si>
    <t>합계</t>
  </si>
  <si>
    <t>평균</t>
  </si>
  <si>
    <t>이소영</t>
  </si>
  <si>
    <t>김현정</t>
  </si>
  <si>
    <t>박윤형</t>
  </si>
  <si>
    <t>최형주</t>
  </si>
  <si>
    <t>신성만</t>
  </si>
  <si>
    <t>강만경</t>
  </si>
  <si>
    <t>유은주</t>
  </si>
  <si>
    <t>양행주</t>
  </si>
  <si>
    <t>한금자</t>
  </si>
  <si>
    <t>전웅자</t>
  </si>
  <si>
    <t>유형</t>
    <phoneticPr fontId="1" type="noConversion"/>
  </si>
  <si>
    <t>통합</t>
    <phoneticPr fontId="1" type="noConversion"/>
  </si>
  <si>
    <t>시나리오</t>
    <phoneticPr fontId="1" type="noConversion"/>
  </si>
  <si>
    <t>부분합</t>
    <phoneticPr fontId="1" type="noConversion"/>
  </si>
  <si>
    <t>피벗테이블</t>
    <phoneticPr fontId="1" type="noConversion"/>
  </si>
  <si>
    <t>목표값찾기</t>
    <phoneticPr fontId="1" type="noConversion"/>
  </si>
  <si>
    <t>데이터 표</t>
    <phoneticPr fontId="1" type="noConversion"/>
  </si>
  <si>
    <t>정렬</t>
    <phoneticPr fontId="1" type="noConversion"/>
  </si>
  <si>
    <t>식대</t>
  </si>
  <si>
    <t>이민주</t>
  </si>
  <si>
    <t>강호동</t>
  </si>
  <si>
    <t>백두희</t>
  </si>
  <si>
    <t>식대인상</t>
  </si>
  <si>
    <t>만든 사람 Windows 사용자 날짜 2023-10-04</t>
  </si>
  <si>
    <t>식대인하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</si>
  <si>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</si>
  <si>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</si>
  <si>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</si>
  <si>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</si>
  <si>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</si>
  <si>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</si>
  <si>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</si>
  <si>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매크로 작업 순서</t>
    <phoneticPr fontId="1" type="noConversion"/>
  </si>
  <si>
    <t>1. 셀 포인터를 표 밖에 위치 시킨다</t>
    <phoneticPr fontId="1" type="noConversion"/>
  </si>
  <si>
    <t>2. 개발도구- 코드- 매크로 기록 단추 클릭한다</t>
    <phoneticPr fontId="1" type="noConversion"/>
  </si>
  <si>
    <t>3. 매크로 이름을 정의한다</t>
    <phoneticPr fontId="1" type="noConversion"/>
  </si>
  <si>
    <t>4. 문제에 주어진 매크로의 기능을 실행한다(수식 이나 셀 서식)</t>
    <phoneticPr fontId="1" type="noConversion"/>
  </si>
  <si>
    <t>5. 개발도구 - 코드 - 매크로 기록 중지 단추를 클릭 한다</t>
    <phoneticPr fontId="1" type="noConversion"/>
  </si>
  <si>
    <t>6. 문제에서 주어진 도형 또는 단추를 위치에 넣어준다</t>
    <phoneticPr fontId="1" type="noConversion"/>
  </si>
  <si>
    <t>7. 도형 또는 단추에 텍스트를 넣어 준다</t>
    <phoneticPr fontId="1" type="noConversion"/>
  </si>
  <si>
    <t>8. 도형에 매크로를 지정하여 준다(단추는 생성시 매크로 지정 창이 바로 나옴)</t>
    <phoneticPr fontId="1" type="noConversion"/>
  </si>
  <si>
    <t>함수</t>
    <phoneticPr fontId="1" type="noConversion"/>
  </si>
  <si>
    <t>=NOW( )</t>
    <phoneticPr fontId="1" type="noConversion"/>
  </si>
  <si>
    <t>현재 날짜와 시간을 셀에 표시 합니다.</t>
    <phoneticPr fontId="1" type="noConversion"/>
  </si>
  <si>
    <t>=DATE(년, 월, 일)</t>
    <phoneticPr fontId="1" type="noConversion"/>
  </si>
  <si>
    <t>년/ 월/ 일 을 입력하여 셀에 표시 합니다.</t>
    <phoneticPr fontId="1" type="noConversion"/>
  </si>
  <si>
    <t>=MID(가져올 문자 셀 또는 문자 값, 가져올 글자의 시작 위치, 가져올 글자 수)</t>
    <phoneticPr fontId="1" type="noConversion"/>
  </si>
  <si>
    <t>문제 셀의 값 중에서 시작위치에 있는 문자 부터 가져올 글자 수 만큼 글자를 잘라서 가져옴</t>
    <phoneticPr fontId="1" type="noConversion"/>
  </si>
  <si>
    <t>=IF(조건식, 참값, 거짓값)</t>
    <phoneticPr fontId="1" type="noConversion"/>
  </si>
  <si>
    <r>
      <rPr>
        <sz val="11"/>
        <color theme="1"/>
        <rFont val="맑은 고딕"/>
        <family val="2"/>
        <charset val="129"/>
        <scheme val="minor"/>
      </rPr>
      <t>=IF(조건식, 참값, IF(조건식, 참값, IF(조건식, 참값, 나머지값)))</t>
    </r>
    <phoneticPr fontId="1" type="noConversion"/>
  </si>
  <si>
    <t>조건식의 결과가 참(TRUE)이면 참값을 출력 하고 그렇지 않으면 거짓값을 출력</t>
    <phoneticPr fontId="1" type="noConversion"/>
  </si>
  <si>
    <t>IF함수는 함수의 결과값 -1 만큼 사용함</t>
    <phoneticPr fontId="1" type="noConversion"/>
  </si>
  <si>
    <t>=HLOOKUP(기준값, 출력 하고자 하는 값이 있는 셀 범위, 출력 하고자 하는 값이 있는 행 위치 번호, 정확/유사 옵션)</t>
    <phoneticPr fontId="1" type="noConversion"/>
  </si>
  <si>
    <t>셀 범위 중에서 기준값에 속하는 행의 값을 출력</t>
    <phoneticPr fontId="1" type="noConversion"/>
  </si>
  <si>
    <t>=VLOOKUP(기준값, 출력 하고자 하는 값이 있는 셀 범위, 출력 하고자 하는 값이 있는 열 위치 번호, 정확/유사 옵션)</t>
    <phoneticPr fontId="1" type="noConversion"/>
  </si>
  <si>
    <t>셀 범위 중에서 기준값에 속하는 열의 값을 출력</t>
    <phoneticPr fontId="1" type="noConversion"/>
  </si>
  <si>
    <t>=IFERROR(셀에 출력할 값 또는 식, 값 또는 식이 에러 일때 출력 할 값)</t>
    <phoneticPr fontId="1" type="noConversion"/>
  </si>
  <si>
    <t>정상적인 식 또는 값이 오류 일때 대신 출력할 값을 설정 하여 출력</t>
    <phoneticPr fontId="1" type="noConversion"/>
  </si>
  <si>
    <t>=INDEX(출력할 값의 범위, 행 번호, 열 번호)</t>
    <phoneticPr fontId="1" type="noConversion"/>
  </si>
  <si>
    <t>셀 범위중에서 행 번호 위치와 열 번호 위치를 참조 하여 값을 출력</t>
    <phoneticPr fontId="1" type="noConversion"/>
  </si>
  <si>
    <t xml:space="preserve"> &lt;- HLOOKUP</t>
    <phoneticPr fontId="1" type="noConversion"/>
  </si>
  <si>
    <t>[등급표] &lt;-VLOOKUP</t>
    <phoneticPr fontId="1" type="noConversion"/>
  </si>
  <si>
    <t>=SUMIF(조건범위, "조건식", 합계를 구할 범위)</t>
    <phoneticPr fontId="1" type="noConversion"/>
  </si>
  <si>
    <t>조건 범위 중에서 조건식에 만족하는 셀들의 합계를 구하여 출력</t>
    <phoneticPr fontId="1" type="noConversion"/>
  </si>
  <si>
    <t>=SUMIFS(합계를 구할 범위, 조건범위1, "조건식1",…….,조건범위n,"조건식n")</t>
    <phoneticPr fontId="1" type="noConversion"/>
  </si>
  <si>
    <t>조건 범위들 중에서 조건식들에 만족하는 셀들의 합계를 구하여 출력</t>
    <phoneticPr fontId="1" type="noConversion"/>
  </si>
  <si>
    <t>=COUNTIF(조건범위, "조건식")</t>
    <phoneticPr fontId="1" type="noConversion"/>
  </si>
  <si>
    <t>조건 범위 중에서 조건식에 만족하는 셀들의 개수를 구함</t>
    <phoneticPr fontId="1" type="noConversion"/>
  </si>
  <si>
    <t>=COUNTIFS(조건범위1, "조건식1",……..,조건범위n,"조건식n")</t>
    <phoneticPr fontId="1" type="noConversion"/>
  </si>
  <si>
    <t>조건 범위들 중에서 조건식들에 만족하는 셀들의 개수를 구하여 출력</t>
    <phoneticPr fontId="1" type="noConversion"/>
  </si>
  <si>
    <t>=RANK.EQ(순위를 구할 셀 또는 값, 비교되는 셀의 범위, 오름/내림 옵션)</t>
    <phoneticPr fontId="1" type="noConversion"/>
  </si>
  <si>
    <t>지정한 셀 또는 값의 순위를 구함</t>
    <phoneticPr fontId="1" type="noConversion"/>
  </si>
  <si>
    <t>=LEFT(가져올 글자 셀 또는 값, 가져올 글자 개수)</t>
    <phoneticPr fontId="1" type="noConversion"/>
  </si>
  <si>
    <t>글자가 있는 셀 또는 값 에서 왼쪽 부터 글자 개수 만큼 글자를 잘라서 출력</t>
    <phoneticPr fontId="1" type="noConversion"/>
  </si>
  <si>
    <t>=CHOOSE(값을 선택하기위한 인덱스 번호, 값1, 값2, ………. , 값n)</t>
    <phoneticPr fontId="1" type="noConversion"/>
  </si>
  <si>
    <t>나열된 값들 중에서 인덱스 번호에 해당하는 값을 찾아서 출력(초이스)</t>
    <phoneticPr fontId="1" type="noConversion"/>
  </si>
  <si>
    <t>=COUNTA(개수를 구할 셀 범위)</t>
    <phoneticPr fontId="1" type="noConversion"/>
  </si>
  <si>
    <t>셀 범위 중에서 공백을 제외한 셀의 개수를 출력</t>
    <phoneticPr fontId="1" type="noConversion"/>
  </si>
  <si>
    <t>=AND(조건식1, 조건식2,…….., 조건식n) &lt;-이면서, 이고, 모두</t>
    <phoneticPr fontId="1" type="noConversion"/>
  </si>
  <si>
    <t>조건식 들을 묶어서 모든 조건식이 참이면 TRUE값을 하나라도 거짓이면 FALSE 값을 출력</t>
    <phoneticPr fontId="1" type="noConversion"/>
  </si>
  <si>
    <t>=OR(조건식1, 조건식2,…….., 조건식n) &lt;-이거나, 또는, 하나라도, ~와(과)</t>
    <phoneticPr fontId="1" type="noConversion"/>
  </si>
  <si>
    <t>조건식 들을 묶어서 하나라도 조건식이 참이면 TRUE값을 모두 거짓이면 FALSE 값을 출력</t>
    <phoneticPr fontId="1" type="noConversion"/>
  </si>
  <si>
    <t>=AVERAGE(평균을 구할 셀 범위)</t>
    <phoneticPr fontId="1" type="noConversion"/>
  </si>
  <si>
    <t>셀 범위의 평균을 구하여 출력</t>
    <phoneticPr fontId="1" type="noConversion"/>
  </si>
  <si>
    <t>=RANK.AVG(순위를 구할 셀 또는 값, 순위를 구하고자하는 값 또는 셀의 비교 범위, 오름/내림 옵션)</t>
    <phoneticPr fontId="1" type="noConversion"/>
  </si>
  <si>
    <t>순위를 구함(동일한 값의 경우 순위는 순위의 평균값을 출력)</t>
    <phoneticPr fontId="1" type="noConversion"/>
  </si>
  <si>
    <t>=EDATE(시작 날짜 데이터 또는 값, 지정한 개월수)</t>
    <phoneticPr fontId="1" type="noConversion"/>
  </si>
  <si>
    <t>지정한 개월수 전이나 후의 날짜 값을 출력</t>
    <phoneticPr fontId="1" type="noConversion"/>
  </si>
  <si>
    <t>=DAYS360(시작 날짜 데이터 또는 셀, 끝 날짜 데이터 또는 셀)</t>
    <phoneticPr fontId="1" type="noConversion"/>
  </si>
  <si>
    <t>1년을 360일로 하여 시작 날짜 부터 끝 날짜 까지의 일수를 출력</t>
    <phoneticPr fontId="1" type="noConversion"/>
  </si>
  <si>
    <t>=WORKDAY(시작 날짜 또는 셀, 일수, 특정 제외할 날짜들)</t>
    <phoneticPr fontId="1" type="noConversion"/>
  </si>
  <si>
    <t>시작 날짜로 부터 일수 전 또는 후의 날짜 값을 출력 하는데 주말 날짜는 제외한 후 출력</t>
    <phoneticPr fontId="1" type="noConversion"/>
  </si>
  <si>
    <t>=AVERAGEIF(조건범위, "조건식", 평균를 구할 범위)</t>
    <phoneticPr fontId="1" type="noConversion"/>
  </si>
  <si>
    <t>조건 범위 중에서 조건식에 만족하는 셀들의 평균를 구하여 출력</t>
    <phoneticPr fontId="1" type="noConversion"/>
  </si>
  <si>
    <t>=SEARCH(찾을 문자값, 찾을 문자가 있는 셀 위치 또는 셀 주소, 찾기 시작할 위치)</t>
    <phoneticPr fontId="1" type="noConversion"/>
  </si>
  <si>
    <t>셀 위치(셀 값)에서 문자를 찾아 그 문자의 위치를 숫자로 출력</t>
    <phoneticPr fontId="1" type="noConversion"/>
  </si>
  <si>
    <t>=TRUNC(계산식 또는 값, 자리수)</t>
    <phoneticPr fontId="1" type="noConversion"/>
  </si>
  <si>
    <t>자리수만큼 버리고 결과를 출력</t>
    <phoneticPr fontId="1" type="noConversion"/>
  </si>
  <si>
    <t>자리수의 의미</t>
    <phoneticPr fontId="1" type="noConversion"/>
  </si>
  <si>
    <t>양수(1,2,3…)</t>
    <phoneticPr fontId="1" type="noConversion"/>
  </si>
  <si>
    <t>음수(-1,-2…)</t>
    <phoneticPr fontId="1" type="noConversion"/>
  </si>
  <si>
    <t>영(0)</t>
    <phoneticPr fontId="1" type="noConversion"/>
  </si>
  <si>
    <t>소수점 자리수(소수 첫자리, 둘째 자리..)</t>
    <phoneticPr fontId="1" type="noConversion"/>
  </si>
  <si>
    <t>정수 자리수(일, 십, 백의 자리)</t>
    <phoneticPr fontId="1" type="noConversion"/>
  </si>
  <si>
    <t>정수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</si>
</sst>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1" formatCode="_-* #,##0_-;\-* #,##0_-;_-* &quot;-&quot;_-;_-@_-"/>
    <numFmt numFmtId="176" formatCode="0.0_ "/>
    <numFmt numFmtId="177" formatCode="0_);[Red]\(0\)"/>
    <numFmt numFmtId="178" formatCode="General&quot;일&quot;"/>
    <numFmt numFmtId="179" formatCode="#,##0&quot;원&quot;"/>
    <numFmt numFmtId="180" formatCode="0&quot;명&quot;"/>
  </numFmts>
  <fonts count="2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u val="double"/>
      <sz val="17"/>
      <color theme="1"/>
      <name val="궁서체"/>
      <family val="1"/>
      <charset val="129"/>
    </font>
    <font>
      <sz val="12"/>
      <color theme="0"/>
      <name val="궁서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/>
  </cellStyleXfs>
  <cellXfs count="73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0" xfId="0" applyFill="1" applyBorder="1" applyAlignme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31" fontId="0" fillId="0" borderId="1" xfId="0" applyNumberFormat="1" applyBorder="1" applyAlignment="1">
      <alignment horizontal="center" vertical="center"/>
    </xf>
    <xf numFmtId="0" fontId="6" fillId="0" borderId="1" xfId="0" applyNumberFormat="1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8" fillId="0" borderId="0" xfId="3" applyFont="1" applyAlignment="1">
      <alignment horizontal="left" vertical="center"/>
    </xf>
    <xf numFmtId="0" fontId="9" fillId="0" borderId="0" xfId="3" applyFont="1" applyAlignment="1">
      <alignment horizontal="left" vertical="center"/>
    </xf>
    <xf numFmtId="41" fontId="6" fillId="0" borderId="1" xfId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41" fontId="6" fillId="0" borderId="1" xfId="1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10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177" fontId="0" fillId="0" borderId="0" xfId="0" applyNumberFormat="1" applyBorder="1">
      <alignment vertical="center"/>
    </xf>
    <xf numFmtId="41" fontId="0" fillId="0" borderId="0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1" fontId="12" fillId="0" borderId="1" xfId="1" applyFont="1" applyBorder="1" applyAlignment="1">
      <alignment vertical="center"/>
    </xf>
    <xf numFmtId="0" fontId="6" fillId="0" borderId="0" xfId="0" applyFont="1" applyAlignment="1">
      <alignment vertical="center"/>
    </xf>
    <xf numFmtId="41" fontId="13" fillId="0" borderId="1" xfId="4" applyFont="1" applyBorder="1" applyAlignment="1">
      <alignment vertical="center"/>
    </xf>
    <xf numFmtId="9" fontId="13" fillId="0" borderId="1" xfId="2" applyFont="1" applyBorder="1" applyAlignment="1">
      <alignment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80" fontId="0" fillId="0" borderId="1" xfId="0" applyNumberFormat="1" applyBorder="1" applyAlignment="1">
      <alignment vertical="center"/>
    </xf>
    <xf numFmtId="179" fontId="0" fillId="0" borderId="1" xfId="0" applyNumberFormat="1" applyBorder="1" applyAlignment="1">
      <alignment vertical="center"/>
    </xf>
    <xf numFmtId="0" fontId="0" fillId="0" borderId="1" xfId="0" applyFill="1" applyBorder="1" applyAlignment="1">
      <alignment vertical="center"/>
    </xf>
    <xf numFmtId="180" fontId="0" fillId="0" borderId="1" xfId="0" applyNumberFormat="1" applyFill="1" applyBorder="1" applyAlignment="1">
      <alignment vertical="center"/>
    </xf>
    <xf numFmtId="179" fontId="0" fillId="0" borderId="1" xfId="0" applyNumberFormat="1" applyFill="1" applyBorder="1" applyAlignment="1">
      <alignment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41" fontId="0" fillId="0" borderId="1" xfId="1" applyNumberFormat="1" applyFont="1" applyBorder="1">
      <alignment vertical="center"/>
    </xf>
    <xf numFmtId="41" fontId="0" fillId="0" borderId="1" xfId="0" applyNumberFormat="1" applyBorder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17" fillId="4" borderId="5" xfId="0" applyFont="1" applyFill="1" applyBorder="1" applyAlignment="1">
      <alignment horizontal="left" vertical="center"/>
    </xf>
    <xf numFmtId="0" fontId="16" fillId="4" borderId="7" xfId="0" applyFont="1" applyFill="1" applyBorder="1" applyAlignment="1">
      <alignment horizontal="left" vertical="center"/>
    </xf>
    <xf numFmtId="0" fontId="17" fillId="4" borderId="7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8" fillId="5" borderId="0" xfId="0" applyFont="1" applyFill="1" applyBorder="1" applyAlignment="1">
      <alignment horizontal="left" vertical="center"/>
    </xf>
    <xf numFmtId="0" fontId="19" fillId="5" borderId="3" xfId="0" applyFont="1" applyFill="1" applyBorder="1" applyAlignment="1">
      <alignment horizontal="left" vertical="center"/>
    </xf>
    <xf numFmtId="0" fontId="20" fillId="5" borderId="3" xfId="0" applyFont="1" applyFill="1" applyBorder="1" applyAlignment="1">
      <alignment horizontal="left" vertical="center"/>
    </xf>
    <xf numFmtId="0" fontId="18" fillId="5" borderId="8" xfId="0" applyFont="1" applyFill="1" applyBorder="1" applyAlignment="1">
      <alignment horizontal="left" vertical="center"/>
    </xf>
    <xf numFmtId="0" fontId="16" fillId="4" borderId="7" xfId="0" applyFont="1" applyFill="1" applyBorder="1" applyAlignment="1">
      <alignment horizontal="right" vertical="center"/>
    </xf>
    <xf numFmtId="0" fontId="16" fillId="4" borderId="5" xfId="0" applyFont="1" applyFill="1" applyBorder="1" applyAlignment="1">
      <alignment horizontal="right" vertical="center"/>
    </xf>
    <xf numFmtId="41" fontId="0" fillId="6" borderId="0" xfId="0" applyNumberFormat="1" applyFill="1" applyBorder="1" applyAlignment="1">
      <alignment vertical="center"/>
    </xf>
    <xf numFmtId="0" fontId="21" fillId="0" borderId="0" xfId="0" applyFont="1" applyFill="1" applyBorder="1" applyAlignment="1">
      <alignment vertical="top" wrapText="1"/>
    </xf>
    <xf numFmtId="0" fontId="22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14" fontId="0" fillId="0" borderId="0" xfId="0" quotePrefix="1" applyNumberFormat="1" applyAlignment="1">
      <alignment horizontal="left" vertical="center"/>
    </xf>
    <xf numFmtId="0" fontId="6" fillId="0" borderId="0" xfId="0" quotePrefix="1" applyFont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quotePrefix="1">
      <alignment vertical="center"/>
    </xf>
  </cellXfs>
  <cellStyles count="5">
    <cellStyle name="백분율" xfId="2" builtinId="5"/>
    <cellStyle name="쉼표 [0]" xfId="1" builtinId="6"/>
    <cellStyle name="쉼표 [0] 2" xfId="4"/>
    <cellStyle name="표준" xfId="0" builtinId="0"/>
    <cellStyle name="표준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 sz="1700" b="1">
                <a:latin typeface="굴림체" panose="020B0609000101010101" pitchFamily="49" charset="-127"/>
                <a:ea typeface="굴림체" panose="020B0609000101010101" pitchFamily="49" charset="-127"/>
              </a:rPr>
              <a:t>핸드폰 판매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차트작업!$D$3</c:f>
              <c:strCache>
                <c:ptCount val="1"/>
                <c:pt idx="0">
                  <c:v>판매이익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(차트작업!$A$4:$A$5,차트작업!$A$8:$A$9)</c:f>
              <c:strCache>
                <c:ptCount val="4"/>
                <c:pt idx="0">
                  <c:v>K-1011</c:v>
                </c:pt>
                <c:pt idx="1">
                  <c:v>T-2011</c:v>
                </c:pt>
                <c:pt idx="2">
                  <c:v>S-4013</c:v>
                </c:pt>
                <c:pt idx="3">
                  <c:v>C-4029</c:v>
                </c:pt>
              </c:strCache>
            </c:strRef>
          </c:cat>
          <c:val>
            <c:numRef>
              <c:f>(차트작업!$D$4:$D$5,차트작업!$D$8:$D$9)</c:f>
              <c:numCache>
                <c:formatCode>_(* #,##0_);_(* \(#,##0\);_(* "-"_);_(@_)</c:formatCode>
                <c:ptCount val="4"/>
                <c:pt idx="0">
                  <c:v>110</c:v>
                </c:pt>
                <c:pt idx="1">
                  <c:v>60</c:v>
                </c:pt>
                <c:pt idx="2">
                  <c:v>110</c:v>
                </c:pt>
                <c:pt idx="3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2-4039-A4DF-2B1910B8C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9844800"/>
        <c:axId val="239847296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마진율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2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0A-447E-8C58-7B2A16A12C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(차트작업!$A$4:$A$5,차트작업!$A$8:$A$9)</c:f>
              <c:strCache>
                <c:ptCount val="4"/>
                <c:pt idx="0">
                  <c:v>K-1011</c:v>
                </c:pt>
                <c:pt idx="1">
                  <c:v>T-2011</c:v>
                </c:pt>
                <c:pt idx="2">
                  <c:v>S-4013</c:v>
                </c:pt>
                <c:pt idx="3">
                  <c:v>C-4029</c:v>
                </c:pt>
              </c:strCache>
            </c:strRef>
          </c:cat>
          <c:val>
            <c:numRef>
              <c:f>(차트작업!$E$4:$E$5,차트작업!$E$8:$E$9)</c:f>
              <c:numCache>
                <c:formatCode>0%</c:formatCode>
                <c:ptCount val="4"/>
                <c:pt idx="0">
                  <c:v>0.36666666666666664</c:v>
                </c:pt>
                <c:pt idx="1">
                  <c:v>0.27272727272727271</c:v>
                </c:pt>
                <c:pt idx="2">
                  <c:v>0.37931034482758619</c:v>
                </c:pt>
                <c:pt idx="3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B2-4039-A4DF-2B1910B8C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338463"/>
        <c:axId val="2039109327"/>
      </c:lineChart>
      <c:catAx>
        <c:axId val="23984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9847296"/>
        <c:crosses val="autoZero"/>
        <c:auto val="1"/>
        <c:lblAlgn val="ctr"/>
        <c:lblOffset val="100"/>
        <c:noMultiLvlLbl val="0"/>
      </c:catAx>
      <c:valAx>
        <c:axId val="239847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39844800"/>
        <c:crosses val="autoZero"/>
        <c:crossBetween val="between"/>
      </c:valAx>
      <c:valAx>
        <c:axId val="2039109327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33338463"/>
        <c:crosses val="max"/>
        <c:crossBetween val="between"/>
        <c:majorUnit val="0.1"/>
      </c:valAx>
      <c:catAx>
        <c:axId val="203333846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910932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3</xdr:col>
      <xdr:colOff>0</xdr:colOff>
      <xdr:row>15</xdr:row>
      <xdr:rowOff>209085</xdr:rowOff>
    </xdr:to>
    <xdr:sp macro="[0]!지급액" textlink="">
      <xdr:nvSpPr>
        <xdr:cNvPr id="2" name="직사각형 1"/>
        <xdr:cNvSpPr/>
      </xdr:nvSpPr>
      <xdr:spPr>
        <a:xfrm>
          <a:off x="687659" y="2973659"/>
          <a:ext cx="1375317" cy="41817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지급액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906036</xdr:colOff>
      <xdr:row>15</xdr:row>
      <xdr:rowOff>209085</xdr:rowOff>
    </xdr:to>
    <xdr:sp macro="[0]!서식" textlink="">
      <xdr:nvSpPr>
        <xdr:cNvPr id="3" name="빗면 2"/>
        <xdr:cNvSpPr/>
      </xdr:nvSpPr>
      <xdr:spPr>
        <a:xfrm>
          <a:off x="2969012" y="2973659"/>
          <a:ext cx="1812073" cy="4181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과목점수" adjustColumnWidth="0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5" x14ac:dyDescent="0.3"/>
  <sheetData>
    <row r="1" spans="1:1" x14ac:dyDescent="0.3">
      <c r="A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zoomScale="190" zoomScaleNormal="190" workbookViewId="0">
      <selection activeCell="I12" sqref="I12"/>
    </sheetView>
  </sheetViews>
  <sheetFormatPr defaultRowHeight="16.5" x14ac:dyDescent="0.3"/>
  <cols>
    <col min="1" max="1" width="10.125" customWidth="1"/>
    <col min="2" max="2" width="12.875" customWidth="1"/>
    <col min="4" max="7" width="10.875" customWidth="1"/>
  </cols>
  <sheetData>
    <row r="1" spans="1:9" ht="21.75" x14ac:dyDescent="0.3">
      <c r="A1" s="64" t="s">
        <v>1</v>
      </c>
      <c r="B1" s="64"/>
      <c r="C1" s="64"/>
      <c r="D1" s="64"/>
      <c r="E1" s="64"/>
      <c r="F1" s="64"/>
      <c r="G1" s="64"/>
      <c r="H1" s="1"/>
      <c r="I1" s="1"/>
    </row>
    <row r="2" spans="1:9" x14ac:dyDescent="0.3">
      <c r="A2" s="1"/>
      <c r="B2" s="1"/>
      <c r="C2" s="1"/>
      <c r="D2" s="1"/>
      <c r="E2" s="1"/>
      <c r="F2" s="1"/>
      <c r="G2" s="1"/>
      <c r="H2" s="1"/>
      <c r="I2" s="1"/>
    </row>
    <row r="3" spans="1:9" x14ac:dyDescent="0.3">
      <c r="A3" s="32" t="s">
        <v>2</v>
      </c>
      <c r="B3" s="32" t="s">
        <v>3</v>
      </c>
      <c r="C3" s="32" t="s">
        <v>4</v>
      </c>
      <c r="D3" s="32" t="s">
        <v>5</v>
      </c>
      <c r="E3" s="32" t="s">
        <v>6</v>
      </c>
      <c r="F3" s="32" t="s">
        <v>7</v>
      </c>
      <c r="G3" s="32" t="s">
        <v>8</v>
      </c>
      <c r="H3" s="1"/>
      <c r="I3" s="1"/>
    </row>
    <row r="4" spans="1:9" x14ac:dyDescent="0.3">
      <c r="A4" s="33" t="s">
        <v>9</v>
      </c>
      <c r="B4" s="33" t="s">
        <v>10</v>
      </c>
      <c r="C4" s="34">
        <v>4</v>
      </c>
      <c r="D4" s="35">
        <v>4000000</v>
      </c>
      <c r="E4" s="35">
        <v>380000</v>
      </c>
      <c r="F4" s="35">
        <v>750000</v>
      </c>
      <c r="G4" s="35">
        <v>680000</v>
      </c>
      <c r="H4" s="1"/>
      <c r="I4" s="1"/>
    </row>
    <row r="5" spans="1:9" x14ac:dyDescent="0.3">
      <c r="A5" s="33" t="s">
        <v>11</v>
      </c>
      <c r="B5" s="33" t="s">
        <v>10</v>
      </c>
      <c r="C5" s="34">
        <v>3</v>
      </c>
      <c r="D5" s="35">
        <v>4500000</v>
      </c>
      <c r="E5" s="35">
        <v>450000</v>
      </c>
      <c r="F5" s="35">
        <v>1050000</v>
      </c>
      <c r="G5" s="35">
        <v>950000</v>
      </c>
      <c r="H5" s="1"/>
      <c r="I5" s="1"/>
    </row>
    <row r="6" spans="1:9" x14ac:dyDescent="0.3">
      <c r="A6" s="33" t="s">
        <v>12</v>
      </c>
      <c r="B6" s="36" t="s">
        <v>13</v>
      </c>
      <c r="C6" s="34">
        <v>3</v>
      </c>
      <c r="D6" s="35">
        <v>3800000</v>
      </c>
      <c r="E6" s="35">
        <v>290000</v>
      </c>
      <c r="F6" s="35">
        <v>960000</v>
      </c>
      <c r="G6" s="35">
        <v>670000</v>
      </c>
      <c r="H6" s="1"/>
      <c r="I6" s="1"/>
    </row>
    <row r="7" spans="1:9" x14ac:dyDescent="0.3">
      <c r="A7" s="33" t="s">
        <v>14</v>
      </c>
      <c r="B7" s="33" t="s">
        <v>15</v>
      </c>
      <c r="C7" s="34">
        <v>4</v>
      </c>
      <c r="D7" s="35">
        <v>4800000</v>
      </c>
      <c r="E7" s="35">
        <v>410000</v>
      </c>
      <c r="F7" s="35">
        <v>750000</v>
      </c>
      <c r="G7" s="35">
        <v>510000</v>
      </c>
      <c r="H7" s="1"/>
      <c r="I7" s="1"/>
    </row>
    <row r="8" spans="1:9" x14ac:dyDescent="0.3">
      <c r="A8" s="33" t="s">
        <v>16</v>
      </c>
      <c r="B8" s="33" t="s">
        <v>17</v>
      </c>
      <c r="C8" s="34">
        <v>3</v>
      </c>
      <c r="D8" s="35">
        <v>6500000</v>
      </c>
      <c r="E8" s="35">
        <v>750000</v>
      </c>
      <c r="F8" s="35">
        <v>1200000</v>
      </c>
      <c r="G8" s="35">
        <v>780000</v>
      </c>
      <c r="H8" s="1"/>
      <c r="I8" s="1"/>
    </row>
    <row r="9" spans="1:9" x14ac:dyDescent="0.3">
      <c r="A9" s="33" t="s">
        <v>18</v>
      </c>
      <c r="B9" s="33" t="s">
        <v>15</v>
      </c>
      <c r="C9" s="34">
        <v>2</v>
      </c>
      <c r="D9" s="35">
        <v>2700000</v>
      </c>
      <c r="E9" s="35">
        <v>300000</v>
      </c>
      <c r="F9" s="35">
        <v>370000</v>
      </c>
      <c r="G9" s="35">
        <v>340000</v>
      </c>
      <c r="H9" s="1"/>
      <c r="I9" s="1"/>
    </row>
    <row r="10" spans="1:9" x14ac:dyDescent="0.3">
      <c r="A10" s="33" t="s">
        <v>19</v>
      </c>
      <c r="B10" s="33" t="s">
        <v>20</v>
      </c>
      <c r="C10" s="34">
        <v>4</v>
      </c>
      <c r="D10" s="35">
        <v>7500000</v>
      </c>
      <c r="E10" s="35">
        <v>340000</v>
      </c>
      <c r="F10" s="35">
        <v>680000</v>
      </c>
      <c r="G10" s="35">
        <v>650000</v>
      </c>
      <c r="H10" s="1"/>
      <c r="I10" s="1"/>
    </row>
    <row r="11" spans="1:9" x14ac:dyDescent="0.3">
      <c r="A11" s="36" t="s">
        <v>21</v>
      </c>
      <c r="B11" s="36" t="s">
        <v>17</v>
      </c>
      <c r="C11" s="37">
        <v>3</v>
      </c>
      <c r="D11" s="38">
        <v>8900000</v>
      </c>
      <c r="E11" s="38">
        <v>520000</v>
      </c>
      <c r="F11" s="38">
        <v>498000</v>
      </c>
      <c r="G11" s="38">
        <v>480000</v>
      </c>
      <c r="H11" s="1"/>
      <c r="I11" s="1"/>
    </row>
    <row r="12" spans="1:9" x14ac:dyDescent="0.3">
      <c r="A12" s="36" t="s">
        <v>22</v>
      </c>
      <c r="B12" s="36" t="s">
        <v>23</v>
      </c>
      <c r="C12" s="37">
        <v>5</v>
      </c>
      <c r="D12" s="38">
        <v>5600000</v>
      </c>
      <c r="E12" s="38">
        <v>690000</v>
      </c>
      <c r="F12" s="38">
        <v>751000</v>
      </c>
      <c r="G12" s="38">
        <v>647000</v>
      </c>
      <c r="H12" s="1"/>
      <c r="I12" s="1"/>
    </row>
    <row r="13" spans="1:9" x14ac:dyDescent="0.3">
      <c r="A13" s="36" t="s">
        <v>24</v>
      </c>
      <c r="B13" s="36" t="s">
        <v>25</v>
      </c>
      <c r="C13" s="37">
        <v>1</v>
      </c>
      <c r="D13" s="38">
        <v>6400000</v>
      </c>
      <c r="E13" s="38">
        <v>150000</v>
      </c>
      <c r="F13" s="38">
        <v>490000</v>
      </c>
      <c r="G13" s="38">
        <v>150000</v>
      </c>
      <c r="H13" s="1"/>
      <c r="I13" s="1"/>
    </row>
    <row r="14" spans="1:9" x14ac:dyDescent="0.3">
      <c r="A14" s="65" t="s">
        <v>26</v>
      </c>
      <c r="B14" s="65"/>
      <c r="C14" s="65"/>
      <c r="D14" s="35">
        <v>5470000</v>
      </c>
      <c r="E14" s="35">
        <v>428000</v>
      </c>
      <c r="F14" s="35">
        <v>749900</v>
      </c>
      <c r="G14" s="35">
        <v>585700</v>
      </c>
      <c r="H14" s="1"/>
      <c r="I14" s="1"/>
    </row>
    <row r="15" spans="1:9" x14ac:dyDescent="0.3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3">
      <c r="A16" s="1"/>
      <c r="B16" s="1"/>
      <c r="C16" s="1"/>
      <c r="D16" s="1"/>
      <c r="E16" s="1"/>
      <c r="F16" s="1"/>
      <c r="G16" s="1"/>
      <c r="H16" s="1"/>
      <c r="I16" s="1"/>
    </row>
  </sheetData>
  <mergeCells count="2">
    <mergeCell ref="A1:G1"/>
    <mergeCell ref="A14:C14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J13"/>
  <sheetViews>
    <sheetView zoomScale="190" zoomScaleNormal="190" workbookViewId="0">
      <selection activeCell="F7" sqref="F7"/>
    </sheetView>
  </sheetViews>
  <sheetFormatPr defaultRowHeight="16.5" x14ac:dyDescent="0.3"/>
  <cols>
    <col min="1" max="1" width="2.625" customWidth="1"/>
    <col min="2" max="2" width="12.625" customWidth="1"/>
  </cols>
  <sheetData>
    <row r="1" spans="2:10" x14ac:dyDescent="0.3">
      <c r="B1" t="s">
        <v>27</v>
      </c>
    </row>
    <row r="3" spans="2:10" x14ac:dyDescent="0.3">
      <c r="B3" t="s">
        <v>230</v>
      </c>
      <c r="C3" t="s">
        <v>231</v>
      </c>
      <c r="D3" t="s">
        <v>232</v>
      </c>
      <c r="E3" t="s">
        <v>233</v>
      </c>
      <c r="F3" t="s">
        <v>234</v>
      </c>
      <c r="G3" t="s">
        <v>235</v>
      </c>
      <c r="H3" t="s">
        <v>236</v>
      </c>
      <c r="I3" t="s">
        <v>237</v>
      </c>
      <c r="J3" t="s">
        <v>238</v>
      </c>
    </row>
    <row r="4" spans="2:10" x14ac:dyDescent="0.3">
      <c r="B4">
        <v>202005123</v>
      </c>
      <c r="C4" t="s">
        <v>239</v>
      </c>
      <c r="D4">
        <v>26</v>
      </c>
      <c r="E4">
        <v>29</v>
      </c>
      <c r="F4">
        <v>28</v>
      </c>
      <c r="G4">
        <v>27</v>
      </c>
      <c r="H4">
        <v>26</v>
      </c>
      <c r="I4">
        <v>136</v>
      </c>
      <c r="J4">
        <v>27.2</v>
      </c>
    </row>
    <row r="5" spans="2:10" x14ac:dyDescent="0.3">
      <c r="B5">
        <v>202005130</v>
      </c>
      <c r="C5" t="s">
        <v>240</v>
      </c>
      <c r="D5">
        <v>29</v>
      </c>
      <c r="E5">
        <v>27</v>
      </c>
      <c r="F5">
        <v>28</v>
      </c>
      <c r="G5">
        <v>30</v>
      </c>
      <c r="H5">
        <v>28</v>
      </c>
      <c r="I5">
        <v>142</v>
      </c>
      <c r="J5">
        <v>28.4</v>
      </c>
    </row>
    <row r="6" spans="2:10" x14ac:dyDescent="0.3">
      <c r="B6">
        <v>202005103</v>
      </c>
      <c r="C6" t="s">
        <v>241</v>
      </c>
      <c r="D6">
        <v>26</v>
      </c>
      <c r="E6">
        <v>30</v>
      </c>
      <c r="F6">
        <v>24</v>
      </c>
      <c r="G6">
        <v>28</v>
      </c>
      <c r="H6">
        <v>30</v>
      </c>
      <c r="I6">
        <v>138</v>
      </c>
      <c r="J6">
        <v>27.6</v>
      </c>
    </row>
    <row r="7" spans="2:10" x14ac:dyDescent="0.3">
      <c r="B7">
        <v>202005113</v>
      </c>
      <c r="C7" t="s">
        <v>242</v>
      </c>
      <c r="D7">
        <v>24</v>
      </c>
      <c r="E7">
        <v>28</v>
      </c>
      <c r="F7">
        <v>26</v>
      </c>
      <c r="G7">
        <v>30</v>
      </c>
      <c r="H7">
        <v>30</v>
      </c>
      <c r="I7">
        <v>138</v>
      </c>
      <c r="J7">
        <v>27.6</v>
      </c>
    </row>
    <row r="8" spans="2:10" x14ac:dyDescent="0.3">
      <c r="B8">
        <v>202005105</v>
      </c>
      <c r="C8" t="s">
        <v>243</v>
      </c>
      <c r="D8">
        <v>25</v>
      </c>
      <c r="E8">
        <v>25</v>
      </c>
      <c r="F8">
        <v>24</v>
      </c>
      <c r="G8">
        <v>29</v>
      </c>
      <c r="H8">
        <v>28</v>
      </c>
      <c r="I8">
        <v>131</v>
      </c>
      <c r="J8">
        <v>26.2</v>
      </c>
    </row>
    <row r="9" spans="2:10" x14ac:dyDescent="0.3">
      <c r="B9">
        <v>202005118</v>
      </c>
      <c r="C9" t="s">
        <v>244</v>
      </c>
      <c r="D9">
        <v>26</v>
      </c>
      <c r="E9">
        <v>28</v>
      </c>
      <c r="F9">
        <v>25</v>
      </c>
      <c r="G9">
        <v>28</v>
      </c>
      <c r="H9">
        <v>30</v>
      </c>
      <c r="I9">
        <v>137</v>
      </c>
      <c r="J9">
        <v>27.4</v>
      </c>
    </row>
    <row r="10" spans="2:10" x14ac:dyDescent="0.3">
      <c r="B10">
        <v>202005124</v>
      </c>
      <c r="C10" t="s">
        <v>245</v>
      </c>
      <c r="D10">
        <v>29</v>
      </c>
      <c r="E10">
        <v>28</v>
      </c>
      <c r="F10">
        <v>28</v>
      </c>
      <c r="G10">
        <v>27</v>
      </c>
      <c r="H10">
        <v>29</v>
      </c>
      <c r="I10">
        <v>141</v>
      </c>
      <c r="J10">
        <v>28.2</v>
      </c>
    </row>
    <row r="11" spans="2:10" x14ac:dyDescent="0.3">
      <c r="B11">
        <v>202005019</v>
      </c>
      <c r="C11" t="s">
        <v>246</v>
      </c>
      <c r="D11">
        <v>29</v>
      </c>
      <c r="E11">
        <v>27</v>
      </c>
      <c r="F11">
        <v>29</v>
      </c>
      <c r="G11">
        <v>28</v>
      </c>
      <c r="H11">
        <v>28</v>
      </c>
      <c r="I11">
        <v>141</v>
      </c>
      <c r="J11">
        <v>28.2</v>
      </c>
    </row>
    <row r="12" spans="2:10" x14ac:dyDescent="0.3">
      <c r="B12">
        <v>202005115</v>
      </c>
      <c r="C12" t="s">
        <v>247</v>
      </c>
      <c r="D12">
        <v>27</v>
      </c>
      <c r="E12">
        <v>28</v>
      </c>
      <c r="F12">
        <v>29</v>
      </c>
      <c r="G12">
        <v>27</v>
      </c>
      <c r="H12">
        <v>28</v>
      </c>
      <c r="I12">
        <v>139</v>
      </c>
      <c r="J12">
        <v>27.8</v>
      </c>
    </row>
    <row r="13" spans="2:10" x14ac:dyDescent="0.3">
      <c r="B13">
        <v>202005135</v>
      </c>
      <c r="C13" t="s">
        <v>248</v>
      </c>
      <c r="D13">
        <v>26</v>
      </c>
      <c r="E13">
        <v>25</v>
      </c>
      <c r="F13">
        <v>28</v>
      </c>
      <c r="G13">
        <v>30</v>
      </c>
      <c r="H13">
        <v>24</v>
      </c>
      <c r="I13">
        <v>133</v>
      </c>
      <c r="J13">
        <v>26.6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6"/>
  <sheetViews>
    <sheetView tabSelected="1" topLeftCell="A90" zoomScale="205" zoomScaleNormal="205" workbookViewId="0">
      <selection activeCell="D97" sqref="D97"/>
    </sheetView>
  </sheetViews>
  <sheetFormatPr defaultRowHeight="16.5" x14ac:dyDescent="0.3"/>
  <cols>
    <col min="1" max="1" width="10.875" customWidth="1"/>
    <col min="2" max="3" width="10.125" customWidth="1"/>
    <col min="4" max="4" width="15.625" customWidth="1"/>
    <col min="5" max="5" width="17.125" customWidth="1"/>
    <col min="6" max="6" width="11.125" customWidth="1"/>
    <col min="8" max="11" width="11.25" customWidth="1"/>
    <col min="12" max="12" width="11.625" bestFit="1" customWidth="1"/>
  </cols>
  <sheetData>
    <row r="1" spans="1:12" x14ac:dyDescent="0.3">
      <c r="A1" s="3" t="s">
        <v>28</v>
      </c>
      <c r="B1" s="4" t="s">
        <v>29</v>
      </c>
      <c r="G1" s="3" t="s">
        <v>30</v>
      </c>
      <c r="H1" s="4" t="s">
        <v>31</v>
      </c>
    </row>
    <row r="2" spans="1:12" x14ac:dyDescent="0.3">
      <c r="A2" s="5" t="s">
        <v>32</v>
      </c>
      <c r="B2" s="5" t="s">
        <v>33</v>
      </c>
      <c r="C2" s="5" t="s">
        <v>34</v>
      </c>
      <c r="D2" s="5" t="s">
        <v>35</v>
      </c>
      <c r="E2" s="17" t="s">
        <v>36</v>
      </c>
      <c r="G2" s="6" t="s">
        <v>37</v>
      </c>
      <c r="H2" s="6" t="s">
        <v>33</v>
      </c>
      <c r="I2" s="6" t="s">
        <v>38</v>
      </c>
      <c r="J2" s="6" t="s">
        <v>39</v>
      </c>
      <c r="K2" s="6" t="s">
        <v>40</v>
      </c>
      <c r="L2" s="18" t="s">
        <v>41</v>
      </c>
    </row>
    <row r="3" spans="1:12" x14ac:dyDescent="0.3">
      <c r="A3" s="5" t="s">
        <v>42</v>
      </c>
      <c r="B3" s="5" t="s">
        <v>43</v>
      </c>
      <c r="C3" s="5" t="s">
        <v>44</v>
      </c>
      <c r="D3" s="5" t="s">
        <v>45</v>
      </c>
      <c r="E3" s="7">
        <f>DATE(1900+MID(D3,1,2),MID(D3,3,2),MID(D3,5,2))</f>
        <v>32987</v>
      </c>
      <c r="G3" s="6" t="s">
        <v>46</v>
      </c>
      <c r="H3" s="6" t="s">
        <v>47</v>
      </c>
      <c r="I3" s="6">
        <v>85</v>
      </c>
      <c r="J3" s="8">
        <v>60</v>
      </c>
      <c r="K3" s="8">
        <v>85</v>
      </c>
      <c r="L3" s="9" t="str">
        <f>IF(AND(I3&gt;=80,OR(J3&gt;=70,K3&gt;=70)),"합격","")</f>
        <v>합격</v>
      </c>
    </row>
    <row r="4" spans="1:12" x14ac:dyDescent="0.3">
      <c r="A4" s="5" t="s">
        <v>48</v>
      </c>
      <c r="B4" s="5" t="s">
        <v>49</v>
      </c>
      <c r="C4" s="5" t="s">
        <v>50</v>
      </c>
      <c r="D4" s="5" t="s">
        <v>51</v>
      </c>
      <c r="E4" s="7">
        <f>DATE(1900+MID(D4,1,2),MID(D4,3,2),MID(D4,5,2))</f>
        <v>33583</v>
      </c>
      <c r="G4" s="6" t="s">
        <v>52</v>
      </c>
      <c r="H4" s="6" t="s">
        <v>49</v>
      </c>
      <c r="I4" s="6">
        <v>57</v>
      </c>
      <c r="J4" s="8">
        <v>70</v>
      </c>
      <c r="K4" s="8">
        <v>80</v>
      </c>
      <c r="L4" s="9" t="str">
        <f t="shared" ref="L4:L8" si="0">IF(AND(I4&gt;=80,OR(J4&gt;=70,K4&gt;=70)),"합격","")</f>
        <v/>
      </c>
    </row>
    <row r="5" spans="1:12" x14ac:dyDescent="0.3">
      <c r="A5" s="5" t="s">
        <v>53</v>
      </c>
      <c r="B5" s="5" t="s">
        <v>54</v>
      </c>
      <c r="C5" s="5" t="s">
        <v>55</v>
      </c>
      <c r="D5" s="5" t="s">
        <v>56</v>
      </c>
      <c r="E5" s="7">
        <f t="shared" ref="E5:E9" si="1">DATE(1900+MID(D5,1,2),MID(D5,3,2),MID(D5,5,2))</f>
        <v>33769</v>
      </c>
      <c r="G5" s="6" t="s">
        <v>57</v>
      </c>
      <c r="H5" s="6" t="s">
        <v>54</v>
      </c>
      <c r="I5" s="6">
        <v>84</v>
      </c>
      <c r="J5" s="8">
        <v>65</v>
      </c>
      <c r="K5" s="8">
        <v>65</v>
      </c>
      <c r="L5" s="9" t="str">
        <f t="shared" si="0"/>
        <v/>
      </c>
    </row>
    <row r="6" spans="1:12" x14ac:dyDescent="0.3">
      <c r="A6" s="5" t="s">
        <v>58</v>
      </c>
      <c r="B6" s="5" t="s">
        <v>59</v>
      </c>
      <c r="C6" s="5" t="s">
        <v>60</v>
      </c>
      <c r="D6" s="5" t="s">
        <v>61</v>
      </c>
      <c r="E6" s="7">
        <f t="shared" si="1"/>
        <v>33157</v>
      </c>
      <c r="G6" s="6" t="s">
        <v>62</v>
      </c>
      <c r="H6" s="6" t="s">
        <v>63</v>
      </c>
      <c r="I6" s="6">
        <v>81</v>
      </c>
      <c r="J6" s="8">
        <v>80</v>
      </c>
      <c r="K6" s="8">
        <v>65</v>
      </c>
      <c r="L6" s="9" t="str">
        <f t="shared" si="0"/>
        <v>합격</v>
      </c>
    </row>
    <row r="7" spans="1:12" x14ac:dyDescent="0.3">
      <c r="A7" s="5" t="s">
        <v>64</v>
      </c>
      <c r="B7" s="5" t="s">
        <v>54</v>
      </c>
      <c r="C7" s="5" t="s">
        <v>65</v>
      </c>
      <c r="D7" s="5" t="s">
        <v>66</v>
      </c>
      <c r="E7" s="7">
        <f t="shared" si="1"/>
        <v>33275</v>
      </c>
      <c r="G7" s="6" t="s">
        <v>67</v>
      </c>
      <c r="H7" s="6" t="s">
        <v>43</v>
      </c>
      <c r="I7" s="6">
        <v>70</v>
      </c>
      <c r="J7" s="8">
        <v>90</v>
      </c>
      <c r="K7" s="8">
        <v>89</v>
      </c>
      <c r="L7" s="9" t="str">
        <f t="shared" si="0"/>
        <v/>
      </c>
    </row>
    <row r="8" spans="1:12" x14ac:dyDescent="0.3">
      <c r="A8" s="5" t="s">
        <v>68</v>
      </c>
      <c r="B8" s="5" t="s">
        <v>69</v>
      </c>
      <c r="C8" s="5" t="s">
        <v>70</v>
      </c>
      <c r="D8" s="5" t="s">
        <v>71</v>
      </c>
      <c r="E8" s="7">
        <f t="shared" si="1"/>
        <v>32831</v>
      </c>
      <c r="G8" s="6" t="s">
        <v>72</v>
      </c>
      <c r="H8" s="6" t="s">
        <v>54</v>
      </c>
      <c r="I8" s="6">
        <v>80</v>
      </c>
      <c r="J8" s="8">
        <v>50</v>
      </c>
      <c r="K8" s="8">
        <v>80</v>
      </c>
      <c r="L8" s="9" t="str">
        <f t="shared" si="0"/>
        <v>합격</v>
      </c>
    </row>
    <row r="9" spans="1:12" x14ac:dyDescent="0.3">
      <c r="A9" s="5" t="s">
        <v>73</v>
      </c>
      <c r="B9" s="5" t="s">
        <v>54</v>
      </c>
      <c r="C9" s="5" t="s">
        <v>74</v>
      </c>
      <c r="D9" s="5" t="s">
        <v>75</v>
      </c>
      <c r="E9" s="7">
        <f t="shared" si="1"/>
        <v>32363</v>
      </c>
      <c r="G9" s="6" t="s">
        <v>76</v>
      </c>
      <c r="H9" s="6" t="s">
        <v>63</v>
      </c>
      <c r="I9" s="6">
        <v>90</v>
      </c>
      <c r="J9" s="8">
        <v>70</v>
      </c>
      <c r="K9" s="8">
        <v>80</v>
      </c>
      <c r="L9" s="9" t="str">
        <f>IF(AND(I9&gt;=80,OR(J9&gt;=70,K9&gt;=70)),"합격","")</f>
        <v>합격</v>
      </c>
    </row>
    <row r="11" spans="1:12" x14ac:dyDescent="0.3">
      <c r="A11" s="10" t="s">
        <v>77</v>
      </c>
      <c r="B11" s="11" t="s">
        <v>78</v>
      </c>
      <c r="G11" s="10" t="s">
        <v>79</v>
      </c>
      <c r="H11" s="11" t="s">
        <v>80</v>
      </c>
    </row>
    <row r="12" spans="1:12" x14ac:dyDescent="0.3">
      <c r="A12" s="6" t="s">
        <v>81</v>
      </c>
      <c r="B12" s="6" t="s">
        <v>82</v>
      </c>
      <c r="C12" s="6" t="s">
        <v>83</v>
      </c>
      <c r="D12" s="17" t="s">
        <v>84</v>
      </c>
      <c r="G12" s="6" t="s">
        <v>85</v>
      </c>
      <c r="H12" s="6" t="s">
        <v>86</v>
      </c>
      <c r="I12" s="6" t="s">
        <v>87</v>
      </c>
      <c r="J12" s="6" t="s">
        <v>88</v>
      </c>
      <c r="K12" s="6" t="s">
        <v>89</v>
      </c>
      <c r="L12" s="6" t="s">
        <v>90</v>
      </c>
    </row>
    <row r="13" spans="1:12" x14ac:dyDescent="0.3">
      <c r="A13" s="6">
        <v>130255</v>
      </c>
      <c r="B13" s="6" t="s">
        <v>91</v>
      </c>
      <c r="C13" s="6">
        <v>389</v>
      </c>
      <c r="D13" s="6" t="str">
        <f>IFERROR(HLOOKUP(C13,$B$24:$E$25,2,TRUE),"불합격")</f>
        <v>B</v>
      </c>
      <c r="E13" s="62" t="s">
        <v>300</v>
      </c>
      <c r="G13" s="6" t="s">
        <v>92</v>
      </c>
      <c r="H13" s="6" t="s">
        <v>93</v>
      </c>
      <c r="I13" s="6" t="s">
        <v>94</v>
      </c>
      <c r="J13" s="12">
        <v>1250000</v>
      </c>
      <c r="K13" s="6">
        <v>57</v>
      </c>
      <c r="L13" s="12">
        <f>J13*K13</f>
        <v>71250000</v>
      </c>
    </row>
    <row r="14" spans="1:12" x14ac:dyDescent="0.3">
      <c r="A14" s="6">
        <v>130525</v>
      </c>
      <c r="B14" s="6" t="s">
        <v>95</v>
      </c>
      <c r="C14" s="6">
        <v>38</v>
      </c>
      <c r="D14" s="6" t="str">
        <f t="shared" ref="D14:D21" si="2">IFERROR(HLOOKUP(C14,$B$24:$E$25,2,TRUE),"불합격")</f>
        <v>불합격</v>
      </c>
      <c r="E14" s="6" t="s">
        <v>83</v>
      </c>
      <c r="F14" s="6" t="s">
        <v>117</v>
      </c>
      <c r="G14" s="6" t="s">
        <v>96</v>
      </c>
      <c r="H14" s="6" t="s">
        <v>97</v>
      </c>
      <c r="I14" s="6" t="s">
        <v>98</v>
      </c>
      <c r="J14" s="12">
        <v>800000</v>
      </c>
      <c r="K14" s="6">
        <v>37</v>
      </c>
      <c r="L14" s="12">
        <f t="shared" ref="L14:L23" si="3">J14*K14</f>
        <v>29600000</v>
      </c>
    </row>
    <row r="15" spans="1:12" x14ac:dyDescent="0.3">
      <c r="A15" s="6">
        <v>130515</v>
      </c>
      <c r="B15" s="6" t="s">
        <v>99</v>
      </c>
      <c r="C15" s="6">
        <v>325</v>
      </c>
      <c r="D15" s="6" t="str">
        <f t="shared" si="2"/>
        <v>B</v>
      </c>
      <c r="E15" s="6">
        <v>100</v>
      </c>
      <c r="F15" s="6" t="s">
        <v>118</v>
      </c>
      <c r="G15" s="6" t="s">
        <v>100</v>
      </c>
      <c r="H15" s="6" t="s">
        <v>101</v>
      </c>
      <c r="I15" s="6" t="s">
        <v>102</v>
      </c>
      <c r="J15" s="12">
        <v>1100000</v>
      </c>
      <c r="K15" s="6">
        <v>57</v>
      </c>
      <c r="L15" s="12">
        <f t="shared" si="3"/>
        <v>62700000</v>
      </c>
    </row>
    <row r="16" spans="1:12" x14ac:dyDescent="0.3">
      <c r="A16" s="6">
        <v>130235</v>
      </c>
      <c r="B16" s="6" t="s">
        <v>103</v>
      </c>
      <c r="C16" s="6">
        <v>49</v>
      </c>
      <c r="D16" s="6" t="str">
        <f t="shared" si="2"/>
        <v>불합격</v>
      </c>
      <c r="E16" s="6">
        <v>200</v>
      </c>
      <c r="F16" s="6" t="s">
        <v>119</v>
      </c>
      <c r="G16" s="6" t="s">
        <v>104</v>
      </c>
      <c r="H16" s="6" t="s">
        <v>93</v>
      </c>
      <c r="I16" s="6" t="s">
        <v>94</v>
      </c>
      <c r="J16" s="12">
        <v>1250000</v>
      </c>
      <c r="K16" s="6">
        <v>62</v>
      </c>
      <c r="L16" s="12">
        <f t="shared" si="3"/>
        <v>77500000</v>
      </c>
    </row>
    <row r="17" spans="1:12" x14ac:dyDescent="0.3">
      <c r="A17" s="6">
        <v>130455</v>
      </c>
      <c r="B17" s="6" t="s">
        <v>105</v>
      </c>
      <c r="C17" s="6">
        <v>356</v>
      </c>
      <c r="D17" s="6" t="str">
        <f t="shared" si="2"/>
        <v>B</v>
      </c>
      <c r="E17" s="6">
        <v>300</v>
      </c>
      <c r="F17" s="6" t="s">
        <v>120</v>
      </c>
      <c r="G17" s="6" t="s">
        <v>106</v>
      </c>
      <c r="H17" s="6" t="s">
        <v>97</v>
      </c>
      <c r="I17" s="6" t="s">
        <v>98</v>
      </c>
      <c r="J17" s="12">
        <v>800000</v>
      </c>
      <c r="K17" s="6">
        <v>71</v>
      </c>
      <c r="L17" s="12">
        <f t="shared" si="3"/>
        <v>56800000</v>
      </c>
    </row>
    <row r="18" spans="1:12" x14ac:dyDescent="0.3">
      <c r="A18" s="6">
        <v>130215</v>
      </c>
      <c r="B18" s="6" t="s">
        <v>107</v>
      </c>
      <c r="C18" s="6">
        <v>235</v>
      </c>
      <c r="D18" s="6" t="str">
        <f t="shared" si="2"/>
        <v>C</v>
      </c>
      <c r="E18" s="6">
        <v>400</v>
      </c>
      <c r="F18" s="6" t="s">
        <v>121</v>
      </c>
      <c r="G18" s="6" t="s">
        <v>108</v>
      </c>
      <c r="H18" s="6" t="s">
        <v>93</v>
      </c>
      <c r="I18" s="6" t="s">
        <v>94</v>
      </c>
      <c r="J18" s="12">
        <v>1250000</v>
      </c>
      <c r="K18" s="6">
        <v>65</v>
      </c>
      <c r="L18" s="12">
        <f t="shared" si="3"/>
        <v>81250000</v>
      </c>
    </row>
    <row r="19" spans="1:12" x14ac:dyDescent="0.3">
      <c r="A19" s="6">
        <v>130355</v>
      </c>
      <c r="B19" s="6" t="s">
        <v>109</v>
      </c>
      <c r="C19" s="6">
        <v>157</v>
      </c>
      <c r="D19" s="6" t="str">
        <f t="shared" si="2"/>
        <v>D</v>
      </c>
      <c r="G19" s="6" t="s">
        <v>104</v>
      </c>
      <c r="H19" s="6" t="s">
        <v>97</v>
      </c>
      <c r="I19" s="6" t="s">
        <v>98</v>
      </c>
      <c r="J19" s="12">
        <v>800000</v>
      </c>
      <c r="K19" s="6">
        <v>66</v>
      </c>
      <c r="L19" s="12">
        <f t="shared" si="3"/>
        <v>52800000</v>
      </c>
    </row>
    <row r="20" spans="1:12" x14ac:dyDescent="0.3">
      <c r="A20" s="6">
        <v>130553</v>
      </c>
      <c r="B20" s="6" t="s">
        <v>110</v>
      </c>
      <c r="C20" s="6">
        <v>222</v>
      </c>
      <c r="D20" s="6" t="str">
        <f t="shared" si="2"/>
        <v>C</v>
      </c>
      <c r="G20" s="6" t="s">
        <v>111</v>
      </c>
      <c r="H20" s="6" t="s">
        <v>97</v>
      </c>
      <c r="I20" s="6" t="s">
        <v>98</v>
      </c>
      <c r="J20" s="12">
        <v>800000</v>
      </c>
      <c r="K20" s="6">
        <v>56</v>
      </c>
      <c r="L20" s="12">
        <f t="shared" si="3"/>
        <v>44800000</v>
      </c>
    </row>
    <row r="21" spans="1:12" x14ac:dyDescent="0.3">
      <c r="A21" s="6">
        <v>130155</v>
      </c>
      <c r="B21" s="6" t="s">
        <v>112</v>
      </c>
      <c r="C21" s="6">
        <v>52</v>
      </c>
      <c r="D21" s="6" t="str">
        <f t="shared" si="2"/>
        <v>불합격</v>
      </c>
      <c r="G21" s="6" t="s">
        <v>113</v>
      </c>
      <c r="H21" s="6" t="s">
        <v>101</v>
      </c>
      <c r="I21" s="6" t="s">
        <v>102</v>
      </c>
      <c r="J21" s="12">
        <v>1100000</v>
      </c>
      <c r="K21" s="6">
        <v>37</v>
      </c>
      <c r="L21" s="12">
        <f t="shared" si="3"/>
        <v>40700000</v>
      </c>
    </row>
    <row r="22" spans="1:12" x14ac:dyDescent="0.3">
      <c r="A22" s="13"/>
      <c r="B22" s="14"/>
      <c r="C22" s="14"/>
      <c r="D22" s="14"/>
      <c r="G22" s="6" t="s">
        <v>114</v>
      </c>
      <c r="H22" s="6" t="s">
        <v>101</v>
      </c>
      <c r="I22" s="6" t="s">
        <v>102</v>
      </c>
      <c r="J22" s="12">
        <v>1100000</v>
      </c>
      <c r="K22" s="6">
        <v>56</v>
      </c>
      <c r="L22" s="12">
        <f t="shared" si="3"/>
        <v>61600000</v>
      </c>
    </row>
    <row r="23" spans="1:12" x14ac:dyDescent="0.3">
      <c r="A23" s="13" t="s">
        <v>115</v>
      </c>
      <c r="B23" s="14" t="s">
        <v>299</v>
      </c>
      <c r="C23" s="14"/>
      <c r="D23" s="14"/>
      <c r="G23" s="6" t="s">
        <v>116</v>
      </c>
      <c r="H23" s="6" t="s">
        <v>93</v>
      </c>
      <c r="I23" s="6" t="s">
        <v>94</v>
      </c>
      <c r="J23" s="12">
        <v>1250000</v>
      </c>
      <c r="K23" s="6">
        <v>39</v>
      </c>
      <c r="L23" s="12">
        <f t="shared" si="3"/>
        <v>48750000</v>
      </c>
    </row>
    <row r="24" spans="1:12" x14ac:dyDescent="0.3">
      <c r="A24" s="6" t="s">
        <v>83</v>
      </c>
      <c r="B24" s="6">
        <v>100</v>
      </c>
      <c r="C24" s="6">
        <v>200</v>
      </c>
      <c r="D24" s="6">
        <v>300</v>
      </c>
      <c r="E24" s="6">
        <v>400</v>
      </c>
    </row>
    <row r="25" spans="1:12" x14ac:dyDescent="0.3">
      <c r="A25" s="6" t="s">
        <v>117</v>
      </c>
      <c r="B25" s="6" t="s">
        <v>118</v>
      </c>
      <c r="C25" s="6" t="s">
        <v>119</v>
      </c>
      <c r="D25" s="6" t="s">
        <v>120</v>
      </c>
      <c r="E25" s="6" t="s">
        <v>121</v>
      </c>
      <c r="G25" s="66" t="s">
        <v>122</v>
      </c>
      <c r="H25" s="67"/>
      <c r="I25" s="67"/>
      <c r="J25" s="67"/>
      <c r="K25" s="68"/>
      <c r="L25" s="15">
        <f>COUNTIFS(I13:I23,"세탁기",K13:K23,"&gt;=60")</f>
        <v>2</v>
      </c>
    </row>
    <row r="27" spans="1:12" x14ac:dyDescent="0.3">
      <c r="A27" s="10" t="s">
        <v>123</v>
      </c>
      <c r="B27" s="11" t="s">
        <v>124</v>
      </c>
    </row>
    <row r="28" spans="1:12" x14ac:dyDescent="0.3">
      <c r="A28" s="6" t="s">
        <v>32</v>
      </c>
      <c r="B28" s="5" t="s">
        <v>125</v>
      </c>
      <c r="C28" s="5" t="s">
        <v>126</v>
      </c>
      <c r="D28" s="5" t="s">
        <v>127</v>
      </c>
      <c r="E28" s="5" t="s">
        <v>128</v>
      </c>
      <c r="F28" s="17" t="s">
        <v>129</v>
      </c>
    </row>
    <row r="29" spans="1:12" x14ac:dyDescent="0.3">
      <c r="A29" s="6" t="s">
        <v>130</v>
      </c>
      <c r="B29" s="5">
        <v>10.199999999999999</v>
      </c>
      <c r="C29" s="5">
        <v>11</v>
      </c>
      <c r="D29" s="5">
        <v>10.5</v>
      </c>
      <c r="E29" s="16">
        <f>AVERAGE(B29:D29)</f>
        <v>10.566666666666666</v>
      </c>
      <c r="F29" s="5" t="str">
        <f>IF(_xlfn.RANK.EQ(E29,$E$29:$E$36,1)&lt;=3,"선발","")</f>
        <v/>
      </c>
    </row>
    <row r="30" spans="1:12" x14ac:dyDescent="0.3">
      <c r="A30" s="6" t="s">
        <v>131</v>
      </c>
      <c r="B30" s="5">
        <v>11.2</v>
      </c>
      <c r="C30" s="5">
        <v>12</v>
      </c>
      <c r="D30" s="5">
        <v>11.5</v>
      </c>
      <c r="E30" s="16">
        <f t="shared" ref="E30:E36" si="4">AVERAGE(B30:D30)</f>
        <v>11.566666666666668</v>
      </c>
      <c r="F30" s="5" t="str">
        <f t="shared" ref="F30:F36" si="5">IF(_xlfn.RANK.EQ(E30,$E$29:$E$36,1)&lt;=3,"선발","")</f>
        <v/>
      </c>
    </row>
    <row r="31" spans="1:12" x14ac:dyDescent="0.3">
      <c r="A31" s="6" t="s">
        <v>132</v>
      </c>
      <c r="B31" s="5">
        <v>9.5</v>
      </c>
      <c r="C31" s="5">
        <v>9.1</v>
      </c>
      <c r="D31" s="5">
        <v>9.8000000000000007</v>
      </c>
      <c r="E31" s="16">
        <f t="shared" si="4"/>
        <v>9.4666666666666668</v>
      </c>
      <c r="F31" s="5" t="str">
        <f t="shared" si="5"/>
        <v>선발</v>
      </c>
    </row>
    <row r="32" spans="1:12" x14ac:dyDescent="0.3">
      <c r="A32" s="6" t="s">
        <v>133</v>
      </c>
      <c r="B32" s="5">
        <v>12.5</v>
      </c>
      <c r="C32" s="5">
        <v>11.2</v>
      </c>
      <c r="D32" s="5">
        <v>11.5</v>
      </c>
      <c r="E32" s="16">
        <f t="shared" si="4"/>
        <v>11.733333333333334</v>
      </c>
      <c r="F32" s="5" t="str">
        <f t="shared" si="5"/>
        <v/>
      </c>
    </row>
    <row r="33" spans="1:6" x14ac:dyDescent="0.3">
      <c r="A33" s="6" t="s">
        <v>134</v>
      </c>
      <c r="B33" s="5">
        <v>11.4</v>
      </c>
      <c r="C33" s="5">
        <v>11.1</v>
      </c>
      <c r="D33" s="5">
        <v>10.6</v>
      </c>
      <c r="E33" s="16">
        <f t="shared" si="4"/>
        <v>11.033333333333333</v>
      </c>
      <c r="F33" s="5" t="str">
        <f t="shared" si="5"/>
        <v/>
      </c>
    </row>
    <row r="34" spans="1:6" x14ac:dyDescent="0.3">
      <c r="A34" s="6" t="s">
        <v>135</v>
      </c>
      <c r="B34" s="5">
        <v>10.1</v>
      </c>
      <c r="C34" s="5">
        <v>9.9</v>
      </c>
      <c r="D34" s="5">
        <v>10.4</v>
      </c>
      <c r="E34" s="16">
        <f t="shared" si="4"/>
        <v>10.133333333333333</v>
      </c>
      <c r="F34" s="5" t="str">
        <f t="shared" si="5"/>
        <v>선발</v>
      </c>
    </row>
    <row r="35" spans="1:6" x14ac:dyDescent="0.3">
      <c r="A35" s="6" t="s">
        <v>136</v>
      </c>
      <c r="B35" s="5">
        <v>9.9</v>
      </c>
      <c r="C35" s="5">
        <v>10.1</v>
      </c>
      <c r="D35" s="5">
        <v>10.199999999999999</v>
      </c>
      <c r="E35" s="16">
        <f t="shared" si="4"/>
        <v>10.066666666666666</v>
      </c>
      <c r="F35" s="5" t="str">
        <f t="shared" si="5"/>
        <v>선발</v>
      </c>
    </row>
    <row r="36" spans="1:6" x14ac:dyDescent="0.3">
      <c r="A36" s="6" t="s">
        <v>137</v>
      </c>
      <c r="B36" s="5">
        <v>11.3</v>
      </c>
      <c r="C36" s="5">
        <v>11.4</v>
      </c>
      <c r="D36" s="5">
        <v>10.9</v>
      </c>
      <c r="E36" s="16">
        <f t="shared" si="4"/>
        <v>11.200000000000001</v>
      </c>
      <c r="F36" s="5" t="str">
        <f t="shared" si="5"/>
        <v/>
      </c>
    </row>
    <row r="38" spans="1:6" x14ac:dyDescent="0.3">
      <c r="A38" s="63" t="s">
        <v>280</v>
      </c>
    </row>
    <row r="39" spans="1:6" x14ac:dyDescent="0.3">
      <c r="A39" s="59" t="s">
        <v>281</v>
      </c>
    </row>
    <row r="40" spans="1:6" x14ac:dyDescent="0.3">
      <c r="A40" s="40" t="s">
        <v>282</v>
      </c>
    </row>
    <row r="41" spans="1:6" x14ac:dyDescent="0.3">
      <c r="A41" s="60" t="s">
        <v>283</v>
      </c>
    </row>
    <row r="42" spans="1:6" x14ac:dyDescent="0.3">
      <c r="A42" s="40" t="s">
        <v>284</v>
      </c>
    </row>
    <row r="43" spans="1:6" x14ac:dyDescent="0.3">
      <c r="A43" s="59" t="s">
        <v>317</v>
      </c>
    </row>
    <row r="44" spans="1:6" x14ac:dyDescent="0.3">
      <c r="A44" s="40" t="s">
        <v>318</v>
      </c>
    </row>
    <row r="45" spans="1:6" x14ac:dyDescent="0.3">
      <c r="A45" s="59" t="s">
        <v>319</v>
      </c>
    </row>
    <row r="46" spans="1:6" x14ac:dyDescent="0.3">
      <c r="A46" s="40" t="s">
        <v>320</v>
      </c>
    </row>
    <row r="47" spans="1:6" x14ac:dyDescent="0.3">
      <c r="A47" s="59" t="s">
        <v>285</v>
      </c>
    </row>
    <row r="48" spans="1:6" x14ac:dyDescent="0.3">
      <c r="A48" s="40" t="s">
        <v>286</v>
      </c>
    </row>
    <row r="49" spans="1:1" x14ac:dyDescent="0.3">
      <c r="A49" s="59" t="s">
        <v>287</v>
      </c>
    </row>
    <row r="50" spans="1:1" x14ac:dyDescent="0.3">
      <c r="A50" s="61" t="s">
        <v>288</v>
      </c>
    </row>
    <row r="51" spans="1:1" x14ac:dyDescent="0.3">
      <c r="A51" s="40" t="s">
        <v>289</v>
      </c>
    </row>
    <row r="52" spans="1:1" x14ac:dyDescent="0.3">
      <c r="A52" s="40" t="s">
        <v>290</v>
      </c>
    </row>
    <row r="53" spans="1:1" x14ac:dyDescent="0.3">
      <c r="A53" s="59" t="s">
        <v>291</v>
      </c>
    </row>
    <row r="54" spans="1:1" x14ac:dyDescent="0.3">
      <c r="A54" s="40" t="s">
        <v>292</v>
      </c>
    </row>
    <row r="55" spans="1:1" x14ac:dyDescent="0.3">
      <c r="A55" s="59" t="s">
        <v>293</v>
      </c>
    </row>
    <row r="56" spans="1:1" x14ac:dyDescent="0.3">
      <c r="A56" s="40" t="s">
        <v>294</v>
      </c>
    </row>
    <row r="57" spans="1:1" x14ac:dyDescent="0.3">
      <c r="A57" s="59" t="s">
        <v>295</v>
      </c>
    </row>
    <row r="58" spans="1:1" x14ac:dyDescent="0.3">
      <c r="A58" s="40" t="s">
        <v>296</v>
      </c>
    </row>
    <row r="59" spans="1:1" x14ac:dyDescent="0.3">
      <c r="A59" s="59" t="s">
        <v>297</v>
      </c>
    </row>
    <row r="60" spans="1:1" x14ac:dyDescent="0.3">
      <c r="A60" s="40" t="s">
        <v>298</v>
      </c>
    </row>
    <row r="61" spans="1:1" x14ac:dyDescent="0.3">
      <c r="A61" s="59" t="s">
        <v>301</v>
      </c>
    </row>
    <row r="62" spans="1:1" x14ac:dyDescent="0.3">
      <c r="A62" s="40" t="s">
        <v>302</v>
      </c>
    </row>
    <row r="63" spans="1:1" x14ac:dyDescent="0.3">
      <c r="A63" s="59" t="s">
        <v>303</v>
      </c>
    </row>
    <row r="64" spans="1:1" x14ac:dyDescent="0.3">
      <c r="A64" s="40" t="s">
        <v>304</v>
      </c>
    </row>
    <row r="65" spans="1:1" x14ac:dyDescent="0.3">
      <c r="A65" s="59" t="s">
        <v>305</v>
      </c>
    </row>
    <row r="66" spans="1:1" x14ac:dyDescent="0.3">
      <c r="A66" s="40" t="s">
        <v>306</v>
      </c>
    </row>
    <row r="67" spans="1:1" x14ac:dyDescent="0.3">
      <c r="A67" s="59" t="s">
        <v>307</v>
      </c>
    </row>
    <row r="68" spans="1:1" x14ac:dyDescent="0.3">
      <c r="A68" s="40" t="s">
        <v>308</v>
      </c>
    </row>
    <row r="69" spans="1:1" x14ac:dyDescent="0.3">
      <c r="A69" s="59" t="s">
        <v>309</v>
      </c>
    </row>
    <row r="70" spans="1:1" x14ac:dyDescent="0.3">
      <c r="A70" s="40" t="s">
        <v>310</v>
      </c>
    </row>
    <row r="71" spans="1:1" x14ac:dyDescent="0.3">
      <c r="A71" s="59" t="s">
        <v>311</v>
      </c>
    </row>
    <row r="72" spans="1:1" x14ac:dyDescent="0.3">
      <c r="A72" s="40" t="s">
        <v>312</v>
      </c>
    </row>
    <row r="73" spans="1:1" x14ac:dyDescent="0.3">
      <c r="A73" s="59" t="s">
        <v>313</v>
      </c>
    </row>
    <row r="74" spans="1:1" x14ac:dyDescent="0.3">
      <c r="A74" s="40" t="s">
        <v>314</v>
      </c>
    </row>
    <row r="75" spans="1:1" x14ac:dyDescent="0.3">
      <c r="A75" s="59" t="s">
        <v>315</v>
      </c>
    </row>
    <row r="76" spans="1:1" x14ac:dyDescent="0.3">
      <c r="A76" s="40" t="s">
        <v>316</v>
      </c>
    </row>
    <row r="77" spans="1:1" x14ac:dyDescent="0.3">
      <c r="A77" s="59" t="s">
        <v>321</v>
      </c>
    </row>
    <row r="78" spans="1:1" x14ac:dyDescent="0.3">
      <c r="A78" s="40" t="s">
        <v>322</v>
      </c>
    </row>
    <row r="79" spans="1:1" x14ac:dyDescent="0.3">
      <c r="A79" s="59" t="s">
        <v>323</v>
      </c>
    </row>
    <row r="80" spans="1:1" x14ac:dyDescent="0.3">
      <c r="A80" s="40" t="s">
        <v>324</v>
      </c>
    </row>
    <row r="81" spans="1:2" x14ac:dyDescent="0.3">
      <c r="A81" s="72" t="s">
        <v>325</v>
      </c>
    </row>
    <row r="82" spans="1:2" x14ac:dyDescent="0.3">
      <c r="A82" t="s">
        <v>326</v>
      </c>
    </row>
    <row r="83" spans="1:2" x14ac:dyDescent="0.3">
      <c r="A83" s="72" t="s">
        <v>327</v>
      </c>
    </row>
    <row r="84" spans="1:2" x14ac:dyDescent="0.3">
      <c r="A84" t="s">
        <v>328</v>
      </c>
    </row>
    <row r="85" spans="1:2" x14ac:dyDescent="0.3">
      <c r="A85" s="72" t="s">
        <v>329</v>
      </c>
    </row>
    <row r="86" spans="1:2" x14ac:dyDescent="0.3">
      <c r="A86" t="s">
        <v>330</v>
      </c>
    </row>
    <row r="87" spans="1:2" x14ac:dyDescent="0.3">
      <c r="A87" s="59" t="s">
        <v>331</v>
      </c>
    </row>
    <row r="88" spans="1:2" x14ac:dyDescent="0.3">
      <c r="A88" s="40" t="s">
        <v>332</v>
      </c>
    </row>
    <row r="89" spans="1:2" x14ac:dyDescent="0.3">
      <c r="A89" s="72" t="s">
        <v>333</v>
      </c>
    </row>
    <row r="90" spans="1:2" x14ac:dyDescent="0.3">
      <c r="A90" t="s">
        <v>334</v>
      </c>
    </row>
    <row r="91" spans="1:2" x14ac:dyDescent="0.3">
      <c r="A91" s="72" t="s">
        <v>335</v>
      </c>
    </row>
    <row r="92" spans="1:2" x14ac:dyDescent="0.3">
      <c r="A92" t="s">
        <v>336</v>
      </c>
    </row>
    <row r="93" spans="1:2" x14ac:dyDescent="0.3">
      <c r="A93" t="s">
        <v>337</v>
      </c>
    </row>
    <row r="94" spans="1:2" x14ac:dyDescent="0.3">
      <c r="A94" t="s">
        <v>338</v>
      </c>
      <c r="B94" t="s">
        <v>341</v>
      </c>
    </row>
    <row r="95" spans="1:2" x14ac:dyDescent="0.3">
      <c r="A95" t="s">
        <v>339</v>
      </c>
      <c r="B95" t="s">
        <v>342</v>
      </c>
    </row>
    <row r="96" spans="1:2" x14ac:dyDescent="0.3">
      <c r="A96" t="s">
        <v>340</v>
      </c>
      <c r="B96" t="s">
        <v>343</v>
      </c>
    </row>
  </sheetData>
  <mergeCells count="1">
    <mergeCell ref="G25:K2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9"/>
  <sheetViews>
    <sheetView topLeftCell="D1" zoomScale="160" zoomScaleNormal="160" workbookViewId="0">
      <selection activeCell="G19" sqref="G19"/>
    </sheetView>
  </sheetViews>
  <sheetFormatPr defaultRowHeight="16.5" x14ac:dyDescent="0.3"/>
  <cols>
    <col min="1" max="1" width="11.625" customWidth="1"/>
    <col min="2" max="6" width="11.125" customWidth="1"/>
    <col min="8" max="8" width="11.625" customWidth="1"/>
    <col min="9" max="13" width="11.125" customWidth="1"/>
  </cols>
  <sheetData>
    <row r="1" spans="1:15" ht="17.25" x14ac:dyDescent="0.3">
      <c r="A1" s="69" t="s">
        <v>138</v>
      </c>
      <c r="B1" s="69"/>
      <c r="C1" s="69"/>
      <c r="D1" s="69"/>
      <c r="E1" s="69"/>
      <c r="F1" s="69"/>
      <c r="H1" s="69" t="s">
        <v>139</v>
      </c>
      <c r="I1" s="69"/>
      <c r="J1" s="69"/>
      <c r="K1" s="69"/>
      <c r="L1" s="69"/>
      <c r="M1" s="69"/>
    </row>
    <row r="2" spans="1:15" x14ac:dyDescent="0.3">
      <c r="A2" s="5" t="s">
        <v>140</v>
      </c>
      <c r="B2" s="5" t="s">
        <v>141</v>
      </c>
      <c r="C2" s="5" t="s">
        <v>142</v>
      </c>
      <c r="D2" s="5" t="s">
        <v>143</v>
      </c>
      <c r="E2" s="5" t="s">
        <v>144</v>
      </c>
      <c r="F2" s="5" t="s">
        <v>145</v>
      </c>
      <c r="H2" s="5" t="s">
        <v>146</v>
      </c>
      <c r="I2" s="5" t="s">
        <v>141</v>
      </c>
      <c r="J2" s="5" t="s">
        <v>147</v>
      </c>
      <c r="K2" s="5" t="s">
        <v>143</v>
      </c>
      <c r="L2" s="5" t="s">
        <v>144</v>
      </c>
      <c r="M2" s="5" t="s">
        <v>145</v>
      </c>
      <c r="O2" s="39" t="s">
        <v>249</v>
      </c>
    </row>
    <row r="3" spans="1:15" x14ac:dyDescent="0.3">
      <c r="A3" s="19" t="s">
        <v>98</v>
      </c>
      <c r="B3" s="20">
        <v>150</v>
      </c>
      <c r="C3" s="20">
        <v>60</v>
      </c>
      <c r="D3" s="20">
        <f>B3*C3</f>
        <v>9000</v>
      </c>
      <c r="E3" s="20">
        <v>21</v>
      </c>
      <c r="F3" s="20">
        <f>D3-E3</f>
        <v>8979</v>
      </c>
      <c r="H3" s="19" t="s">
        <v>98</v>
      </c>
      <c r="I3" s="20">
        <v>150</v>
      </c>
      <c r="J3" s="20">
        <v>64</v>
      </c>
      <c r="K3" s="20">
        <f>I3*J3</f>
        <v>9600</v>
      </c>
      <c r="L3" s="20">
        <v>23</v>
      </c>
      <c r="M3" s="20">
        <f>K3-L3</f>
        <v>9577</v>
      </c>
      <c r="O3" s="40" t="s">
        <v>250</v>
      </c>
    </row>
    <row r="4" spans="1:15" x14ac:dyDescent="0.3">
      <c r="A4" s="19" t="s">
        <v>148</v>
      </c>
      <c r="B4" s="20">
        <v>200</v>
      </c>
      <c r="C4" s="20">
        <v>60</v>
      </c>
      <c r="D4" s="20">
        <f t="shared" ref="D4:D9" si="0">B4*C4</f>
        <v>12000</v>
      </c>
      <c r="E4" s="20">
        <v>33</v>
      </c>
      <c r="F4" s="20">
        <f t="shared" ref="F4:F9" si="1">D4-E4</f>
        <v>11967</v>
      </c>
      <c r="H4" s="19" t="s">
        <v>148</v>
      </c>
      <c r="I4" s="20">
        <v>200</v>
      </c>
      <c r="J4" s="20">
        <v>64</v>
      </c>
      <c r="K4" s="20">
        <f t="shared" ref="K4:K9" si="2">I4*J4</f>
        <v>12800</v>
      </c>
      <c r="L4" s="20">
        <v>36</v>
      </c>
      <c r="M4" s="20">
        <f t="shared" ref="M4:M9" si="3">K4-L4</f>
        <v>12764</v>
      </c>
      <c r="O4" s="40" t="s">
        <v>251</v>
      </c>
    </row>
    <row r="5" spans="1:15" x14ac:dyDescent="0.3">
      <c r="A5" s="19" t="s">
        <v>102</v>
      </c>
      <c r="B5" s="20">
        <v>250</v>
      </c>
      <c r="C5" s="20">
        <v>60</v>
      </c>
      <c r="D5" s="20">
        <f t="shared" si="0"/>
        <v>15000</v>
      </c>
      <c r="E5" s="20">
        <v>45</v>
      </c>
      <c r="F5" s="20">
        <f t="shared" si="1"/>
        <v>14955</v>
      </c>
      <c r="H5" s="19" t="s">
        <v>102</v>
      </c>
      <c r="I5" s="20">
        <v>250</v>
      </c>
      <c r="J5" s="20">
        <v>64</v>
      </c>
      <c r="K5" s="20">
        <f t="shared" si="2"/>
        <v>16000</v>
      </c>
      <c r="L5" s="20">
        <v>49</v>
      </c>
      <c r="M5" s="20">
        <f t="shared" si="3"/>
        <v>15951</v>
      </c>
      <c r="O5" s="40" t="s">
        <v>252</v>
      </c>
    </row>
    <row r="6" spans="1:15" x14ac:dyDescent="0.3">
      <c r="A6" s="19" t="s">
        <v>149</v>
      </c>
      <c r="B6" s="20">
        <v>170</v>
      </c>
      <c r="C6" s="20">
        <v>60</v>
      </c>
      <c r="D6" s="20">
        <f t="shared" si="0"/>
        <v>10200</v>
      </c>
      <c r="E6" s="20">
        <v>26</v>
      </c>
      <c r="F6" s="20">
        <f t="shared" si="1"/>
        <v>10174</v>
      </c>
      <c r="H6" s="19" t="s">
        <v>149</v>
      </c>
      <c r="I6" s="20">
        <v>170</v>
      </c>
      <c r="J6" s="20">
        <v>64</v>
      </c>
      <c r="K6" s="20">
        <f t="shared" si="2"/>
        <v>10880</v>
      </c>
      <c r="L6" s="20">
        <v>28</v>
      </c>
      <c r="M6" s="20">
        <f t="shared" si="3"/>
        <v>10852</v>
      </c>
      <c r="O6" s="40" t="s">
        <v>253</v>
      </c>
    </row>
    <row r="7" spans="1:15" x14ac:dyDescent="0.3">
      <c r="A7" s="19" t="s">
        <v>94</v>
      </c>
      <c r="B7" s="20">
        <v>130</v>
      </c>
      <c r="C7" s="20">
        <v>60</v>
      </c>
      <c r="D7" s="20">
        <f t="shared" si="0"/>
        <v>7800</v>
      </c>
      <c r="E7" s="20">
        <v>16</v>
      </c>
      <c r="F7" s="20">
        <f t="shared" si="1"/>
        <v>7784</v>
      </c>
      <c r="H7" s="19" t="s">
        <v>94</v>
      </c>
      <c r="I7" s="20">
        <v>130</v>
      </c>
      <c r="J7" s="20">
        <v>64</v>
      </c>
      <c r="K7" s="20">
        <f t="shared" si="2"/>
        <v>8320</v>
      </c>
      <c r="L7" s="20">
        <v>18</v>
      </c>
      <c r="M7" s="20">
        <f t="shared" si="3"/>
        <v>8302</v>
      </c>
      <c r="O7" s="40" t="s">
        <v>254</v>
      </c>
    </row>
    <row r="8" spans="1:15" x14ac:dyDescent="0.3">
      <c r="A8" s="19" t="s">
        <v>150</v>
      </c>
      <c r="B8" s="20">
        <v>250</v>
      </c>
      <c r="C8" s="20">
        <v>60</v>
      </c>
      <c r="D8" s="20">
        <f t="shared" si="0"/>
        <v>15000</v>
      </c>
      <c r="E8" s="20">
        <v>45</v>
      </c>
      <c r="F8" s="20">
        <f t="shared" si="1"/>
        <v>14955</v>
      </c>
      <c r="H8" s="19" t="s">
        <v>150</v>
      </c>
      <c r="I8" s="20">
        <v>250</v>
      </c>
      <c r="J8" s="20">
        <v>64</v>
      </c>
      <c r="K8" s="20">
        <f t="shared" si="2"/>
        <v>16000</v>
      </c>
      <c r="L8" s="20">
        <v>49</v>
      </c>
      <c r="M8" s="20">
        <f t="shared" si="3"/>
        <v>15951</v>
      </c>
      <c r="O8" s="40" t="s">
        <v>255</v>
      </c>
    </row>
    <row r="9" spans="1:15" x14ac:dyDescent="0.3">
      <c r="A9" s="19" t="s">
        <v>151</v>
      </c>
      <c r="B9" s="20">
        <v>230</v>
      </c>
      <c r="C9" s="20">
        <v>60</v>
      </c>
      <c r="D9" s="20">
        <f t="shared" si="0"/>
        <v>13800</v>
      </c>
      <c r="E9" s="20">
        <v>40</v>
      </c>
      <c r="F9" s="20">
        <f t="shared" si="1"/>
        <v>13760</v>
      </c>
      <c r="H9" s="19" t="s">
        <v>151</v>
      </c>
      <c r="I9" s="20">
        <v>230</v>
      </c>
      <c r="J9" s="20">
        <v>64</v>
      </c>
      <c r="K9" s="20">
        <f t="shared" si="2"/>
        <v>14720</v>
      </c>
      <c r="L9" s="20">
        <v>44</v>
      </c>
      <c r="M9" s="20">
        <f t="shared" si="3"/>
        <v>14676</v>
      </c>
      <c r="O9" s="40" t="s">
        <v>256</v>
      </c>
    </row>
    <row r="10" spans="1:15" x14ac:dyDescent="0.3">
      <c r="O10" s="40"/>
    </row>
    <row r="11" spans="1:15" ht="17.25" x14ac:dyDescent="0.3">
      <c r="A11" s="69" t="s">
        <v>152</v>
      </c>
      <c r="B11" s="69"/>
      <c r="C11" s="69"/>
      <c r="D11" s="69"/>
      <c r="E11" s="69"/>
      <c r="F11" s="69"/>
      <c r="H11" s="70" t="s">
        <v>153</v>
      </c>
      <c r="I11" s="70"/>
      <c r="J11" s="70"/>
      <c r="K11" s="70"/>
      <c r="L11" s="21"/>
      <c r="M11" s="21"/>
      <c r="O11" s="40"/>
    </row>
    <row r="12" spans="1:15" x14ac:dyDescent="0.3">
      <c r="A12" s="5" t="s">
        <v>140</v>
      </c>
      <c r="B12" s="5" t="s">
        <v>154</v>
      </c>
      <c r="C12" s="5" t="s">
        <v>142</v>
      </c>
      <c r="D12" s="5" t="s">
        <v>155</v>
      </c>
      <c r="E12" s="5" t="s">
        <v>144</v>
      </c>
      <c r="F12" s="5" t="s">
        <v>156</v>
      </c>
      <c r="H12" s="5" t="s">
        <v>140</v>
      </c>
      <c r="I12" s="5" t="s">
        <v>143</v>
      </c>
      <c r="J12" s="5" t="s">
        <v>144</v>
      </c>
      <c r="K12" s="5" t="s">
        <v>145</v>
      </c>
      <c r="L12" s="22"/>
      <c r="M12" s="22"/>
      <c r="O12" s="40"/>
    </row>
    <row r="13" spans="1:15" x14ac:dyDescent="0.3">
      <c r="A13" s="19" t="s">
        <v>98</v>
      </c>
      <c r="B13" s="20">
        <v>150</v>
      </c>
      <c r="C13" s="20">
        <v>62</v>
      </c>
      <c r="D13" s="20">
        <f>B13*C13</f>
        <v>9300</v>
      </c>
      <c r="E13" s="20">
        <v>19</v>
      </c>
      <c r="F13" s="20">
        <f>D13-E13</f>
        <v>9281</v>
      </c>
      <c r="H13" s="19" t="s">
        <v>98</v>
      </c>
      <c r="I13" s="41">
        <v>9300</v>
      </c>
      <c r="J13" s="42">
        <v>21</v>
      </c>
      <c r="K13" s="41">
        <v>9279</v>
      </c>
      <c r="L13" s="23"/>
      <c r="M13" s="24"/>
      <c r="O13" s="40"/>
    </row>
    <row r="14" spans="1:15" x14ac:dyDescent="0.3">
      <c r="A14" s="19" t="s">
        <v>148</v>
      </c>
      <c r="B14" s="20">
        <v>200</v>
      </c>
      <c r="C14" s="20">
        <v>62</v>
      </c>
      <c r="D14" s="20">
        <f t="shared" ref="D14:D19" si="4">B14*C14</f>
        <v>12400</v>
      </c>
      <c r="E14" s="20">
        <v>30</v>
      </c>
      <c r="F14" s="20">
        <f t="shared" ref="F14:F19" si="5">D14-E14</f>
        <v>12370</v>
      </c>
      <c r="H14" s="19" t="s">
        <v>148</v>
      </c>
      <c r="I14" s="41">
        <v>12400</v>
      </c>
      <c r="J14" s="42">
        <v>33</v>
      </c>
      <c r="K14" s="41">
        <v>12367</v>
      </c>
      <c r="L14" s="23"/>
      <c r="M14" s="24"/>
      <c r="O14" s="40"/>
    </row>
    <row r="15" spans="1:15" x14ac:dyDescent="0.3">
      <c r="A15" s="19" t="s">
        <v>102</v>
      </c>
      <c r="B15" s="20">
        <v>250</v>
      </c>
      <c r="C15" s="20">
        <v>62</v>
      </c>
      <c r="D15" s="20">
        <f t="shared" si="4"/>
        <v>15500</v>
      </c>
      <c r="E15" s="20">
        <v>40</v>
      </c>
      <c r="F15" s="20">
        <f t="shared" si="5"/>
        <v>15460</v>
      </c>
      <c r="H15" s="19" t="s">
        <v>102</v>
      </c>
      <c r="I15" s="41">
        <v>15500</v>
      </c>
      <c r="J15" s="42">
        <v>44.666666666666664</v>
      </c>
      <c r="K15" s="41">
        <v>15455.333333333334</v>
      </c>
      <c r="L15" s="23"/>
      <c r="M15" s="24"/>
      <c r="O15" s="40"/>
    </row>
    <row r="16" spans="1:15" x14ac:dyDescent="0.3">
      <c r="A16" s="19" t="s">
        <v>149</v>
      </c>
      <c r="B16" s="20">
        <v>170</v>
      </c>
      <c r="C16" s="20">
        <v>62</v>
      </c>
      <c r="D16" s="20">
        <f t="shared" si="4"/>
        <v>10540</v>
      </c>
      <c r="E16" s="20">
        <v>23</v>
      </c>
      <c r="F16" s="20">
        <f t="shared" si="5"/>
        <v>10517</v>
      </c>
      <c r="H16" s="19" t="s">
        <v>149</v>
      </c>
      <c r="I16" s="41">
        <v>10540</v>
      </c>
      <c r="J16" s="42">
        <v>25.666666666666668</v>
      </c>
      <c r="K16" s="41">
        <v>10514.333333333334</v>
      </c>
      <c r="L16" s="23"/>
      <c r="M16" s="24"/>
    </row>
    <row r="17" spans="1:13" x14ac:dyDescent="0.3">
      <c r="A17" s="19" t="s">
        <v>94</v>
      </c>
      <c r="B17" s="20">
        <v>130</v>
      </c>
      <c r="C17" s="20">
        <v>62</v>
      </c>
      <c r="D17" s="20">
        <f t="shared" si="4"/>
        <v>8060</v>
      </c>
      <c r="E17" s="20">
        <v>14</v>
      </c>
      <c r="F17" s="20">
        <f t="shared" si="5"/>
        <v>8046</v>
      </c>
      <c r="H17" s="19" t="s">
        <v>94</v>
      </c>
      <c r="I17" s="41">
        <v>8060</v>
      </c>
      <c r="J17" s="42">
        <v>16</v>
      </c>
      <c r="K17" s="41">
        <v>8044</v>
      </c>
      <c r="L17" s="23"/>
      <c r="M17" s="24"/>
    </row>
    <row r="18" spans="1:13" x14ac:dyDescent="0.3">
      <c r="A18" s="19" t="s">
        <v>150</v>
      </c>
      <c r="B18" s="20">
        <v>250</v>
      </c>
      <c r="C18" s="20">
        <v>62</v>
      </c>
      <c r="D18" s="20">
        <f t="shared" si="4"/>
        <v>15500</v>
      </c>
      <c r="E18" s="20">
        <v>40</v>
      </c>
      <c r="F18" s="20">
        <f t="shared" si="5"/>
        <v>15460</v>
      </c>
      <c r="H18" s="19" t="s">
        <v>150</v>
      </c>
      <c r="I18" s="41">
        <v>15500</v>
      </c>
      <c r="J18" s="42">
        <v>44.666666666666664</v>
      </c>
      <c r="K18" s="41">
        <v>15455.333333333334</v>
      </c>
      <c r="L18" s="23"/>
      <c r="M18" s="24"/>
    </row>
    <row r="19" spans="1:13" x14ac:dyDescent="0.3">
      <c r="A19" s="19" t="s">
        <v>151</v>
      </c>
      <c r="B19" s="20">
        <v>230</v>
      </c>
      <c r="C19" s="20">
        <v>62</v>
      </c>
      <c r="D19" s="20">
        <f t="shared" si="4"/>
        <v>14260</v>
      </c>
      <c r="E19" s="20">
        <v>36</v>
      </c>
      <c r="F19" s="20">
        <f t="shared" si="5"/>
        <v>14224</v>
      </c>
      <c r="H19" s="19" t="s">
        <v>151</v>
      </c>
      <c r="I19" s="41">
        <v>14260</v>
      </c>
      <c r="J19" s="42">
        <v>40</v>
      </c>
      <c r="K19" s="41">
        <v>14220</v>
      </c>
      <c r="L19" s="23"/>
      <c r="M19" s="24"/>
    </row>
  </sheetData>
  <dataConsolidate function="average" topLabels="1">
    <dataRefs count="3">
      <dataRef ref="A2:F9" sheet="분석작업-1"/>
      <dataRef ref="H2:M9" sheet="분석작업-1"/>
      <dataRef ref="A12:F19" sheet="분석작업-1"/>
    </dataRefs>
  </dataConsolidate>
  <mergeCells count="4">
    <mergeCell ref="A1:F1"/>
    <mergeCell ref="H1:M1"/>
    <mergeCell ref="A11:F11"/>
    <mergeCell ref="H11:K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B1:F13"/>
  <sheetViews>
    <sheetView showGridLines="0" topLeftCell="A2" zoomScale="235" zoomScaleNormal="235" workbookViewId="0">
      <selection activeCell="G8" sqref="G8"/>
    </sheetView>
  </sheetViews>
  <sheetFormatPr defaultRowHeight="16.5" outlineLevelRow="1" outlineLevelCol="1" x14ac:dyDescent="0.3"/>
  <cols>
    <col min="3" max="3" width="7.125" customWidth="1"/>
    <col min="4" max="6" width="9.625" bestFit="1" customWidth="1" outlineLevel="1"/>
  </cols>
  <sheetData>
    <row r="1" spans="2:6" ht="17.25" thickBot="1" x14ac:dyDescent="0.35"/>
    <row r="2" spans="2:6" x14ac:dyDescent="0.3">
      <c r="B2" s="46" t="s">
        <v>264</v>
      </c>
      <c r="C2" s="47"/>
      <c r="D2" s="53"/>
      <c r="E2" s="53"/>
      <c r="F2" s="53"/>
    </row>
    <row r="3" spans="2:6" collapsed="1" x14ac:dyDescent="0.3">
      <c r="B3" s="45"/>
      <c r="C3" s="45"/>
      <c r="D3" s="54" t="s">
        <v>266</v>
      </c>
      <c r="E3" s="54" t="s">
        <v>261</v>
      </c>
      <c r="F3" s="54" t="s">
        <v>263</v>
      </c>
    </row>
    <row r="4" spans="2:6" ht="54" hidden="1" outlineLevel="1" x14ac:dyDescent="0.3">
      <c r="B4" s="49"/>
      <c r="C4" s="49"/>
      <c r="D4" s="2"/>
      <c r="E4" s="56" t="s">
        <v>262</v>
      </c>
      <c r="F4" s="56" t="s">
        <v>262</v>
      </c>
    </row>
    <row r="5" spans="2:6" x14ac:dyDescent="0.3">
      <c r="B5" s="50" t="s">
        <v>265</v>
      </c>
      <c r="C5" s="51"/>
      <c r="D5" s="48"/>
      <c r="E5" s="48"/>
      <c r="F5" s="48"/>
    </row>
    <row r="6" spans="2:6" outlineLevel="1" x14ac:dyDescent="0.3">
      <c r="B6" s="49"/>
      <c r="C6" s="49" t="s">
        <v>257</v>
      </c>
      <c r="D6" s="43">
        <v>15000</v>
      </c>
      <c r="E6" s="55">
        <v>20000</v>
      </c>
      <c r="F6" s="55">
        <v>12000</v>
      </c>
    </row>
    <row r="7" spans="2:6" x14ac:dyDescent="0.3">
      <c r="B7" s="50" t="s">
        <v>267</v>
      </c>
      <c r="C7" s="51"/>
      <c r="D7" s="48"/>
      <c r="E7" s="48"/>
      <c r="F7" s="48"/>
    </row>
    <row r="8" spans="2:6" outlineLevel="1" x14ac:dyDescent="0.3">
      <c r="B8" s="49"/>
      <c r="C8" s="49" t="s">
        <v>258</v>
      </c>
      <c r="D8" s="43">
        <v>355000</v>
      </c>
      <c r="E8" s="43">
        <v>380000</v>
      </c>
      <c r="F8" s="43">
        <v>340000</v>
      </c>
    </row>
    <row r="9" spans="2:6" outlineLevel="1" x14ac:dyDescent="0.3">
      <c r="B9" s="49"/>
      <c r="C9" s="49" t="s">
        <v>259</v>
      </c>
      <c r="D9" s="43">
        <v>500000</v>
      </c>
      <c r="E9" s="43">
        <v>540000</v>
      </c>
      <c r="F9" s="43">
        <v>476000</v>
      </c>
    </row>
    <row r="10" spans="2:6" ht="17.25" outlineLevel="1" thickBot="1" x14ac:dyDescent="0.35">
      <c r="B10" s="52"/>
      <c r="C10" s="52" t="s">
        <v>260</v>
      </c>
      <c r="D10" s="44">
        <v>395000</v>
      </c>
      <c r="E10" s="44">
        <v>420000</v>
      </c>
      <c r="F10" s="44">
        <v>380000</v>
      </c>
    </row>
    <row r="11" spans="2:6" x14ac:dyDescent="0.3">
      <c r="B11" t="s">
        <v>268</v>
      </c>
    </row>
    <row r="12" spans="2:6" x14ac:dyDescent="0.3">
      <c r="B12" t="s">
        <v>269</v>
      </c>
    </row>
    <row r="13" spans="2:6" x14ac:dyDescent="0.3">
      <c r="B13" t="s">
        <v>270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6"/>
  <sheetViews>
    <sheetView zoomScale="190" zoomScaleNormal="190" workbookViewId="0">
      <selection activeCell="I4" sqref="I4"/>
    </sheetView>
  </sheetViews>
  <sheetFormatPr defaultRowHeight="16.5" x14ac:dyDescent="0.3"/>
  <cols>
    <col min="1" max="9" width="10.125" customWidth="1"/>
  </cols>
  <sheetData>
    <row r="1" spans="1:9" ht="20.25" x14ac:dyDescent="0.3">
      <c r="A1" s="71" t="s">
        <v>157</v>
      </c>
      <c r="B1" s="71"/>
      <c r="C1" s="71"/>
      <c r="D1" s="71"/>
      <c r="E1" s="71"/>
      <c r="F1" s="71"/>
      <c r="G1" s="71"/>
      <c r="H1" s="71"/>
      <c r="I1" s="71"/>
    </row>
    <row r="3" spans="1:9" x14ac:dyDescent="0.3">
      <c r="A3" s="5" t="s">
        <v>158</v>
      </c>
      <c r="B3" s="5" t="s">
        <v>159</v>
      </c>
      <c r="C3" s="5" t="s">
        <v>160</v>
      </c>
      <c r="D3" s="5" t="s">
        <v>161</v>
      </c>
      <c r="E3" s="5" t="s">
        <v>162</v>
      </c>
      <c r="F3" s="5" t="s">
        <v>163</v>
      </c>
      <c r="G3" s="5" t="s">
        <v>164</v>
      </c>
      <c r="H3" s="5" t="s">
        <v>165</v>
      </c>
      <c r="I3" s="5" t="s">
        <v>166</v>
      </c>
    </row>
    <row r="4" spans="1:9" x14ac:dyDescent="0.3">
      <c r="A4" s="5" t="s">
        <v>167</v>
      </c>
      <c r="B4" s="5" t="s">
        <v>168</v>
      </c>
      <c r="C4" s="5" t="s">
        <v>169</v>
      </c>
      <c r="D4" s="25">
        <v>5</v>
      </c>
      <c r="E4" s="20">
        <v>75000</v>
      </c>
      <c r="F4" s="20">
        <f t="shared" ref="F4:F13" si="0">D4*$B$15</f>
        <v>75000</v>
      </c>
      <c r="G4" s="20">
        <f t="shared" ref="G4:G13" si="1">D4*$B$16</f>
        <v>175000</v>
      </c>
      <c r="H4" s="20">
        <v>30000</v>
      </c>
      <c r="I4" s="20">
        <f t="shared" ref="I4:I13" si="2">SUM(E4:H4)</f>
        <v>355000</v>
      </c>
    </row>
    <row r="5" spans="1:9" x14ac:dyDescent="0.3">
      <c r="A5" s="5" t="s">
        <v>170</v>
      </c>
      <c r="B5" s="5" t="s">
        <v>171</v>
      </c>
      <c r="C5" s="5" t="s">
        <v>172</v>
      </c>
      <c r="D5" s="25">
        <v>3</v>
      </c>
      <c r="E5" s="20">
        <v>45000</v>
      </c>
      <c r="F5" s="20">
        <f t="shared" si="0"/>
        <v>45000</v>
      </c>
      <c r="G5" s="20">
        <f t="shared" si="1"/>
        <v>105000</v>
      </c>
      <c r="H5" s="20">
        <v>50000</v>
      </c>
      <c r="I5" s="20">
        <f t="shared" si="2"/>
        <v>245000</v>
      </c>
    </row>
    <row r="6" spans="1:9" x14ac:dyDescent="0.3">
      <c r="A6" s="5" t="s">
        <v>173</v>
      </c>
      <c r="B6" s="5" t="s">
        <v>174</v>
      </c>
      <c r="C6" s="5" t="s">
        <v>175</v>
      </c>
      <c r="D6" s="25">
        <v>4</v>
      </c>
      <c r="E6" s="20">
        <v>70000</v>
      </c>
      <c r="F6" s="20">
        <f t="shared" si="0"/>
        <v>60000</v>
      </c>
      <c r="G6" s="20">
        <f t="shared" si="1"/>
        <v>140000</v>
      </c>
      <c r="H6" s="20">
        <v>40000</v>
      </c>
      <c r="I6" s="20">
        <f t="shared" si="2"/>
        <v>310000</v>
      </c>
    </row>
    <row r="7" spans="1:9" x14ac:dyDescent="0.3">
      <c r="A7" s="5" t="s">
        <v>176</v>
      </c>
      <c r="B7" s="5" t="s">
        <v>177</v>
      </c>
      <c r="C7" s="5" t="s">
        <v>178</v>
      </c>
      <c r="D7" s="25">
        <v>3</v>
      </c>
      <c r="E7" s="20">
        <v>60000</v>
      </c>
      <c r="F7" s="20">
        <f t="shared" si="0"/>
        <v>45000</v>
      </c>
      <c r="G7" s="20">
        <f t="shared" si="1"/>
        <v>105000</v>
      </c>
      <c r="H7" s="20">
        <v>60000</v>
      </c>
      <c r="I7" s="20">
        <f t="shared" si="2"/>
        <v>270000</v>
      </c>
    </row>
    <row r="8" spans="1:9" x14ac:dyDescent="0.3">
      <c r="A8" s="5" t="s">
        <v>179</v>
      </c>
      <c r="B8" s="5" t="s">
        <v>180</v>
      </c>
      <c r="C8" s="5" t="s">
        <v>181</v>
      </c>
      <c r="D8" s="25">
        <v>7</v>
      </c>
      <c r="E8" s="20">
        <v>80000</v>
      </c>
      <c r="F8" s="20">
        <f t="shared" si="0"/>
        <v>105000</v>
      </c>
      <c r="G8" s="20">
        <f t="shared" si="1"/>
        <v>245000</v>
      </c>
      <c r="H8" s="20">
        <v>50000</v>
      </c>
      <c r="I8" s="20">
        <f t="shared" si="2"/>
        <v>480000</v>
      </c>
    </row>
    <row r="9" spans="1:9" x14ac:dyDescent="0.3">
      <c r="A9" s="5" t="s">
        <v>182</v>
      </c>
      <c r="B9" s="5" t="s">
        <v>168</v>
      </c>
      <c r="C9" s="5" t="s">
        <v>183</v>
      </c>
      <c r="D9" s="25">
        <v>8</v>
      </c>
      <c r="E9" s="20">
        <v>70000</v>
      </c>
      <c r="F9" s="20">
        <f t="shared" si="0"/>
        <v>120000</v>
      </c>
      <c r="G9" s="20">
        <f t="shared" si="1"/>
        <v>280000</v>
      </c>
      <c r="H9" s="20">
        <v>30000</v>
      </c>
      <c r="I9" s="20">
        <f t="shared" si="2"/>
        <v>500000</v>
      </c>
    </row>
    <row r="10" spans="1:9" x14ac:dyDescent="0.3">
      <c r="A10" s="5" t="s">
        <v>184</v>
      </c>
      <c r="B10" s="5" t="s">
        <v>171</v>
      </c>
      <c r="C10" s="5" t="s">
        <v>185</v>
      </c>
      <c r="D10" s="25">
        <v>2</v>
      </c>
      <c r="E10" s="20">
        <v>80000</v>
      </c>
      <c r="F10" s="20">
        <f t="shared" si="0"/>
        <v>30000</v>
      </c>
      <c r="G10" s="20">
        <f t="shared" si="1"/>
        <v>70000</v>
      </c>
      <c r="H10" s="20">
        <v>40000</v>
      </c>
      <c r="I10" s="20">
        <f t="shared" si="2"/>
        <v>220000</v>
      </c>
    </row>
    <row r="11" spans="1:9" x14ac:dyDescent="0.3">
      <c r="A11" s="5" t="s">
        <v>186</v>
      </c>
      <c r="B11" s="5" t="s">
        <v>174</v>
      </c>
      <c r="C11" s="5" t="s">
        <v>187</v>
      </c>
      <c r="D11" s="25">
        <v>3</v>
      </c>
      <c r="E11" s="20">
        <v>60000</v>
      </c>
      <c r="F11" s="20">
        <f t="shared" si="0"/>
        <v>45000</v>
      </c>
      <c r="G11" s="20">
        <f t="shared" si="1"/>
        <v>105000</v>
      </c>
      <c r="H11" s="20">
        <v>20000</v>
      </c>
      <c r="I11" s="20">
        <f t="shared" si="2"/>
        <v>230000</v>
      </c>
    </row>
    <row r="12" spans="1:9" x14ac:dyDescent="0.3">
      <c r="A12" s="5" t="s">
        <v>188</v>
      </c>
      <c r="B12" s="5" t="s">
        <v>168</v>
      </c>
      <c r="C12" s="5" t="s">
        <v>189</v>
      </c>
      <c r="D12" s="25">
        <v>5</v>
      </c>
      <c r="E12" s="20">
        <v>65000</v>
      </c>
      <c r="F12" s="20">
        <f t="shared" si="0"/>
        <v>75000</v>
      </c>
      <c r="G12" s="20">
        <f t="shared" si="1"/>
        <v>175000</v>
      </c>
      <c r="H12" s="20">
        <v>80000</v>
      </c>
      <c r="I12" s="20">
        <f t="shared" si="2"/>
        <v>395000</v>
      </c>
    </row>
    <row r="13" spans="1:9" x14ac:dyDescent="0.3">
      <c r="A13" s="5" t="s">
        <v>190</v>
      </c>
      <c r="B13" s="5" t="s">
        <v>191</v>
      </c>
      <c r="C13" s="5" t="s">
        <v>192</v>
      </c>
      <c r="D13" s="25">
        <v>6</v>
      </c>
      <c r="E13" s="20">
        <v>70000</v>
      </c>
      <c r="F13" s="20">
        <f t="shared" si="0"/>
        <v>90000</v>
      </c>
      <c r="G13" s="20">
        <f t="shared" si="1"/>
        <v>210000</v>
      </c>
      <c r="H13" s="20">
        <v>60000</v>
      </c>
      <c r="I13" s="20">
        <f t="shared" si="2"/>
        <v>430000</v>
      </c>
    </row>
    <row r="15" spans="1:9" x14ac:dyDescent="0.3">
      <c r="A15" s="26" t="s">
        <v>193</v>
      </c>
      <c r="B15" s="20">
        <v>15000</v>
      </c>
    </row>
    <row r="16" spans="1:9" x14ac:dyDescent="0.3">
      <c r="A16" s="26" t="s">
        <v>164</v>
      </c>
      <c r="B16" s="20">
        <v>35000</v>
      </c>
    </row>
  </sheetData>
  <scenarios current="1" sqref="I4 I9 I12">
    <scenario name="식대인상" locked="1" count="1" user="Windows 사용자" comment="만든 사람 Windows 사용자 날짜 2023-10-04">
      <inputCells r="B15" val="20000" numFmtId="41"/>
    </scenario>
    <scenario name="식대인하" locked="1" count="1" user="Windows 사용자" comment="만든 사람 Windows 사용자 날짜 2023-10-04">
      <inputCells r="B15" val="12000" numFmtId="41"/>
    </scenario>
  </scenarios>
  <mergeCells count="1">
    <mergeCell ref="A1:I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3"/>
  <sheetViews>
    <sheetView topLeftCell="A2" zoomScale="205" zoomScaleNormal="205" workbookViewId="0">
      <selection activeCell="G15" sqref="G15"/>
    </sheetView>
  </sheetViews>
  <sheetFormatPr defaultRowHeight="16.5" x14ac:dyDescent="0.3"/>
  <cols>
    <col min="4" max="6" width="11.875" customWidth="1"/>
    <col min="7" max="8" width="12.125" customWidth="1"/>
  </cols>
  <sheetData>
    <row r="1" spans="1:12" ht="20.25" x14ac:dyDescent="0.3">
      <c r="A1" s="71" t="s">
        <v>194</v>
      </c>
      <c r="B1" s="71"/>
      <c r="C1" s="71"/>
      <c r="D1" s="71"/>
      <c r="E1" s="71"/>
      <c r="F1" s="71"/>
      <c r="G1" s="71"/>
      <c r="H1" s="71"/>
    </row>
    <row r="3" spans="1:12" x14ac:dyDescent="0.3">
      <c r="A3" s="57" t="s">
        <v>195</v>
      </c>
      <c r="B3" s="58" t="s">
        <v>196</v>
      </c>
      <c r="C3" s="58" t="s">
        <v>197</v>
      </c>
      <c r="D3" s="58" t="s">
        <v>198</v>
      </c>
      <c r="E3" s="58" t="s">
        <v>199</v>
      </c>
      <c r="F3" s="58" t="s">
        <v>200</v>
      </c>
      <c r="G3" s="58" t="s">
        <v>201</v>
      </c>
      <c r="H3" s="58" t="s">
        <v>202</v>
      </c>
      <c r="L3" t="s">
        <v>271</v>
      </c>
    </row>
    <row r="4" spans="1:12" x14ac:dyDescent="0.3">
      <c r="A4" s="5" t="s">
        <v>203</v>
      </c>
      <c r="B4" s="5" t="s">
        <v>204</v>
      </c>
      <c r="C4" s="27">
        <v>6</v>
      </c>
      <c r="D4" s="20">
        <f>1500000+(200000*C4)</f>
        <v>2700000</v>
      </c>
      <c r="E4" s="28">
        <f>D4*12%</f>
        <v>324000</v>
      </c>
      <c r="F4" s="28">
        <f>D4*50%</f>
        <v>1350000</v>
      </c>
      <c r="G4" s="28">
        <f>ROUND(SUM(D4:F4)*9%,-3)</f>
        <v>394000</v>
      </c>
      <c r="H4" s="28">
        <f>SUM(D4:F4)-G4</f>
        <v>3980000</v>
      </c>
      <c r="L4" t="s">
        <v>272</v>
      </c>
    </row>
    <row r="5" spans="1:12" x14ac:dyDescent="0.3">
      <c r="A5" s="5" t="s">
        <v>205</v>
      </c>
      <c r="B5" s="5" t="s">
        <v>206</v>
      </c>
      <c r="C5" s="27">
        <v>1</v>
      </c>
      <c r="D5" s="20">
        <f t="shared" ref="D5:D13" si="0">1500000+(200000*C5)</f>
        <v>1700000</v>
      </c>
      <c r="E5" s="28">
        <f t="shared" ref="E5:E13" si="1">D5*12%</f>
        <v>204000</v>
      </c>
      <c r="F5" s="28">
        <f t="shared" ref="F5:F13" si="2">D5*50%</f>
        <v>850000</v>
      </c>
      <c r="G5" s="28">
        <f t="shared" ref="G5:G13" si="3">ROUND(SUM(D5:F5)*9%,-3)</f>
        <v>248000</v>
      </c>
      <c r="H5" s="28">
        <f t="shared" ref="H5:H13" si="4">SUM(D5:F5)-G5</f>
        <v>2506000</v>
      </c>
      <c r="L5" t="s">
        <v>273</v>
      </c>
    </row>
    <row r="6" spans="1:12" x14ac:dyDescent="0.3">
      <c r="A6" s="5" t="s">
        <v>207</v>
      </c>
      <c r="B6" s="5" t="s">
        <v>174</v>
      </c>
      <c r="C6" s="27">
        <v>4</v>
      </c>
      <c r="D6" s="20">
        <f t="shared" si="0"/>
        <v>2300000</v>
      </c>
      <c r="E6" s="28">
        <f t="shared" si="1"/>
        <v>276000</v>
      </c>
      <c r="F6" s="28">
        <f t="shared" si="2"/>
        <v>1150000</v>
      </c>
      <c r="G6" s="28">
        <f t="shared" si="3"/>
        <v>335000</v>
      </c>
      <c r="H6" s="28">
        <f t="shared" si="4"/>
        <v>3391000</v>
      </c>
      <c r="L6" t="s">
        <v>274</v>
      </c>
    </row>
    <row r="7" spans="1:12" x14ac:dyDescent="0.3">
      <c r="A7" s="5" t="s">
        <v>208</v>
      </c>
      <c r="B7" s="5" t="s">
        <v>209</v>
      </c>
      <c r="C7" s="27">
        <v>9</v>
      </c>
      <c r="D7" s="20">
        <f t="shared" si="0"/>
        <v>3300000</v>
      </c>
      <c r="E7" s="28">
        <f t="shared" si="1"/>
        <v>396000</v>
      </c>
      <c r="F7" s="28">
        <f t="shared" si="2"/>
        <v>1650000</v>
      </c>
      <c r="G7" s="28">
        <f t="shared" si="3"/>
        <v>481000</v>
      </c>
      <c r="H7" s="28">
        <f t="shared" si="4"/>
        <v>4865000</v>
      </c>
      <c r="L7" t="s">
        <v>275</v>
      </c>
    </row>
    <row r="8" spans="1:12" x14ac:dyDescent="0.3">
      <c r="A8" s="5" t="s">
        <v>210</v>
      </c>
      <c r="B8" s="5" t="s">
        <v>171</v>
      </c>
      <c r="C8" s="27">
        <v>1</v>
      </c>
      <c r="D8" s="20">
        <f t="shared" si="0"/>
        <v>1700000</v>
      </c>
      <c r="E8" s="28">
        <f t="shared" si="1"/>
        <v>204000</v>
      </c>
      <c r="F8" s="28">
        <f t="shared" si="2"/>
        <v>850000</v>
      </c>
      <c r="G8" s="28">
        <f t="shared" si="3"/>
        <v>248000</v>
      </c>
      <c r="H8" s="28">
        <f t="shared" si="4"/>
        <v>2506000</v>
      </c>
      <c r="L8" t="s">
        <v>276</v>
      </c>
    </row>
    <row r="9" spans="1:12" x14ac:dyDescent="0.3">
      <c r="A9" s="5" t="s">
        <v>211</v>
      </c>
      <c r="B9" s="5" t="s">
        <v>174</v>
      </c>
      <c r="C9" s="27">
        <v>3</v>
      </c>
      <c r="D9" s="20">
        <f t="shared" si="0"/>
        <v>2100000</v>
      </c>
      <c r="E9" s="28">
        <f t="shared" si="1"/>
        <v>252000</v>
      </c>
      <c r="F9" s="28">
        <f t="shared" si="2"/>
        <v>1050000</v>
      </c>
      <c r="G9" s="28">
        <f t="shared" si="3"/>
        <v>306000</v>
      </c>
      <c r="H9" s="28">
        <f t="shared" si="4"/>
        <v>3096000</v>
      </c>
      <c r="L9" t="s">
        <v>277</v>
      </c>
    </row>
    <row r="10" spans="1:12" x14ac:dyDescent="0.3">
      <c r="A10" s="5" t="s">
        <v>212</v>
      </c>
      <c r="B10" s="5" t="s">
        <v>213</v>
      </c>
      <c r="C10" s="27">
        <v>2</v>
      </c>
      <c r="D10" s="20">
        <f t="shared" si="0"/>
        <v>1900000</v>
      </c>
      <c r="E10" s="28">
        <f t="shared" si="1"/>
        <v>228000</v>
      </c>
      <c r="F10" s="28">
        <f t="shared" si="2"/>
        <v>950000</v>
      </c>
      <c r="G10" s="28">
        <f t="shared" si="3"/>
        <v>277000</v>
      </c>
      <c r="H10" s="28">
        <f t="shared" si="4"/>
        <v>2801000</v>
      </c>
      <c r="L10" t="s">
        <v>278</v>
      </c>
    </row>
    <row r="11" spans="1:12" x14ac:dyDescent="0.3">
      <c r="A11" s="5" t="s">
        <v>214</v>
      </c>
      <c r="B11" s="5" t="s">
        <v>215</v>
      </c>
      <c r="C11" s="27">
        <v>5</v>
      </c>
      <c r="D11" s="20">
        <f t="shared" si="0"/>
        <v>2500000</v>
      </c>
      <c r="E11" s="28">
        <f t="shared" si="1"/>
        <v>300000</v>
      </c>
      <c r="F11" s="28">
        <f t="shared" si="2"/>
        <v>1250000</v>
      </c>
      <c r="G11" s="28">
        <f t="shared" si="3"/>
        <v>365000</v>
      </c>
      <c r="H11" s="28">
        <f t="shared" si="4"/>
        <v>3685000</v>
      </c>
      <c r="L11" t="s">
        <v>279</v>
      </c>
    </row>
    <row r="12" spans="1:12" x14ac:dyDescent="0.3">
      <c r="A12" s="5" t="s">
        <v>216</v>
      </c>
      <c r="B12" s="5" t="s">
        <v>180</v>
      </c>
      <c r="C12" s="27">
        <v>3</v>
      </c>
      <c r="D12" s="20">
        <f t="shared" si="0"/>
        <v>2100000</v>
      </c>
      <c r="E12" s="28">
        <f t="shared" si="1"/>
        <v>252000</v>
      </c>
      <c r="F12" s="28">
        <f t="shared" si="2"/>
        <v>1050000</v>
      </c>
      <c r="G12" s="28">
        <f t="shared" si="3"/>
        <v>306000</v>
      </c>
      <c r="H12" s="28">
        <f t="shared" si="4"/>
        <v>3096000</v>
      </c>
    </row>
    <row r="13" spans="1:12" x14ac:dyDescent="0.3">
      <c r="A13" s="5" t="s">
        <v>217</v>
      </c>
      <c r="B13" s="5" t="s">
        <v>209</v>
      </c>
      <c r="C13" s="27">
        <v>8</v>
      </c>
      <c r="D13" s="20">
        <f t="shared" si="0"/>
        <v>3100000</v>
      </c>
      <c r="E13" s="28">
        <f t="shared" si="1"/>
        <v>372000</v>
      </c>
      <c r="F13" s="28">
        <f t="shared" si="2"/>
        <v>1550000</v>
      </c>
      <c r="G13" s="28">
        <f t="shared" si="3"/>
        <v>452000</v>
      </c>
      <c r="H13" s="28">
        <f t="shared" si="4"/>
        <v>4570000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9"/>
  <sheetViews>
    <sheetView topLeftCell="A6" zoomScale="145" zoomScaleNormal="145" workbookViewId="0">
      <selection activeCell="K13" sqref="K13"/>
    </sheetView>
  </sheetViews>
  <sheetFormatPr defaultRowHeight="16.5" x14ac:dyDescent="0.3"/>
  <sheetData>
    <row r="1" spans="1:5" x14ac:dyDescent="0.3">
      <c r="A1" s="29" t="s">
        <v>218</v>
      </c>
      <c r="B1" s="29"/>
      <c r="C1" s="29"/>
      <c r="D1" s="29"/>
      <c r="E1" s="29"/>
    </row>
    <row r="2" spans="1:5" x14ac:dyDescent="0.3">
      <c r="A2" s="29"/>
      <c r="B2" s="29"/>
      <c r="C2" s="29"/>
      <c r="D2" s="29"/>
      <c r="E2" s="29"/>
    </row>
    <row r="3" spans="1:5" x14ac:dyDescent="0.3">
      <c r="A3" s="6" t="s">
        <v>219</v>
      </c>
      <c r="B3" s="6" t="s">
        <v>220</v>
      </c>
      <c r="C3" s="6" t="s">
        <v>221</v>
      </c>
      <c r="D3" s="6" t="s">
        <v>222</v>
      </c>
      <c r="E3" s="6" t="s">
        <v>223</v>
      </c>
    </row>
    <row r="4" spans="1:5" x14ac:dyDescent="0.3">
      <c r="A4" s="6" t="s">
        <v>224</v>
      </c>
      <c r="B4" s="30">
        <v>190</v>
      </c>
      <c r="C4" s="30">
        <v>300</v>
      </c>
      <c r="D4" s="30">
        <f t="shared" ref="D4:D9" si="0">C4-B4</f>
        <v>110</v>
      </c>
      <c r="E4" s="31">
        <f t="shared" ref="E4:E9" si="1">D4/C4</f>
        <v>0.36666666666666664</v>
      </c>
    </row>
    <row r="5" spans="1:5" x14ac:dyDescent="0.3">
      <c r="A5" s="6" t="s">
        <v>225</v>
      </c>
      <c r="B5" s="30">
        <v>160</v>
      </c>
      <c r="C5" s="30">
        <v>220</v>
      </c>
      <c r="D5" s="30">
        <f t="shared" si="0"/>
        <v>60</v>
      </c>
      <c r="E5" s="31">
        <f t="shared" si="1"/>
        <v>0.27272727272727271</v>
      </c>
    </row>
    <row r="6" spans="1:5" x14ac:dyDescent="0.3">
      <c r="A6" s="6" t="s">
        <v>226</v>
      </c>
      <c r="B6" s="30">
        <v>300</v>
      </c>
      <c r="C6" s="30">
        <v>580</v>
      </c>
      <c r="D6" s="30">
        <f t="shared" si="0"/>
        <v>280</v>
      </c>
      <c r="E6" s="31">
        <f t="shared" si="1"/>
        <v>0.48275862068965519</v>
      </c>
    </row>
    <row r="7" spans="1:5" x14ac:dyDescent="0.3">
      <c r="A7" s="6" t="s">
        <v>227</v>
      </c>
      <c r="B7" s="30">
        <v>320</v>
      </c>
      <c r="C7" s="30">
        <v>420</v>
      </c>
      <c r="D7" s="30">
        <f t="shared" si="0"/>
        <v>100</v>
      </c>
      <c r="E7" s="31">
        <f t="shared" si="1"/>
        <v>0.23809523809523808</v>
      </c>
    </row>
    <row r="8" spans="1:5" x14ac:dyDescent="0.3">
      <c r="A8" s="6" t="s">
        <v>228</v>
      </c>
      <c r="B8" s="30">
        <v>180</v>
      </c>
      <c r="C8" s="30">
        <v>290</v>
      </c>
      <c r="D8" s="30">
        <f t="shared" si="0"/>
        <v>110</v>
      </c>
      <c r="E8" s="31">
        <f t="shared" si="1"/>
        <v>0.37931034482758619</v>
      </c>
    </row>
    <row r="9" spans="1:5" x14ac:dyDescent="0.3">
      <c r="A9" s="6" t="s">
        <v>229</v>
      </c>
      <c r="B9" s="30">
        <v>450</v>
      </c>
      <c r="C9" s="30">
        <v>540</v>
      </c>
      <c r="D9" s="30">
        <f t="shared" si="0"/>
        <v>90</v>
      </c>
      <c r="E9" s="31">
        <f t="shared" si="1"/>
        <v>0.16666666666666666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6</vt:i4>
      </vt:variant>
    </vt:vector>
  </HeadingPairs>
  <TitlesOfParts>
    <vt:vector size="15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강호동</vt:lpstr>
      <vt:lpstr>'기본작업-3'!과목점수</vt:lpstr>
      <vt:lpstr>백두희</vt:lpstr>
      <vt:lpstr>식대</vt:lpstr>
      <vt:lpstr>아파트</vt:lpstr>
      <vt:lpstr>이민주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Windows 사용자</cp:lastModifiedBy>
  <dcterms:created xsi:type="dcterms:W3CDTF">2020-04-06T00:11:56Z</dcterms:created>
  <dcterms:modified xsi:type="dcterms:W3CDTF">2023-10-05T11:44:09Z</dcterms:modified>
</cp:coreProperties>
</file>