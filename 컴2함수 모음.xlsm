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컴활 2급 문제관련\"/>
    </mc:Choice>
  </mc:AlternateContent>
  <bookViews>
    <workbookView xWindow="765" yWindow="765" windowWidth="13545" windowHeight="13680" activeTab="3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_xlnm.Print_Area" localSheetId="3">계산작업!$B$1:$H$76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7" l="1"/>
  <c r="F13" i="7"/>
  <c r="D13" i="7"/>
  <c r="H19" i="5" l="1"/>
  <c r="F19" i="5"/>
  <c r="H17" i="5"/>
  <c r="F17" i="5"/>
  <c r="H11" i="5"/>
  <c r="F11" i="5"/>
  <c r="H6" i="5"/>
  <c r="F6" i="5"/>
  <c r="H20" i="5"/>
  <c r="F20" i="5"/>
  <c r="H18" i="5"/>
  <c r="F18" i="5"/>
  <c r="H12" i="5"/>
  <c r="F12" i="5"/>
  <c r="H7" i="5"/>
  <c r="F7" i="5"/>
  <c r="G5" i="3" l="1"/>
  <c r="G6" i="3"/>
  <c r="G7" i="3"/>
  <c r="G8" i="3"/>
  <c r="G9" i="3"/>
  <c r="G10" i="3"/>
  <c r="G11" i="3"/>
  <c r="G12" i="3"/>
  <c r="G13" i="3"/>
  <c r="G14" i="3"/>
  <c r="G15" i="3"/>
  <c r="G4" i="3"/>
  <c r="F5" i="3"/>
  <c r="F6" i="3"/>
  <c r="F7" i="3"/>
  <c r="F8" i="3"/>
  <c r="F9" i="3"/>
  <c r="F10" i="3"/>
  <c r="F11" i="3"/>
  <c r="F12" i="3"/>
  <c r="F13" i="3"/>
  <c r="F14" i="3"/>
  <c r="F15" i="3"/>
  <c r="F4" i="3"/>
  <c r="E5" i="8" l="1"/>
  <c r="E6" i="8"/>
  <c r="E7" i="8"/>
  <c r="E8" i="8"/>
  <c r="E4" i="8"/>
  <c r="F4" i="6"/>
  <c r="G4" i="6" s="1"/>
  <c r="H4" i="6" s="1"/>
</calcChain>
</file>

<file path=xl/sharedStrings.xml><?xml version="1.0" encoding="utf-8"?>
<sst xmlns="http://schemas.openxmlformats.org/spreadsheetml/2006/main" count="276" uniqueCount="225">
  <si>
    <t>사원 기록 카드</t>
  </si>
  <si>
    <t>분류</t>
  </si>
  <si>
    <t>등급</t>
  </si>
  <si>
    <t>대여회수</t>
  </si>
  <si>
    <t>지연회수</t>
  </si>
  <si>
    <t>지연비율</t>
  </si>
  <si>
    <t>대여수입액</t>
  </si>
  <si>
    <t>액션</t>
  </si>
  <si>
    <t>최신프로</t>
  </si>
  <si>
    <t>신프로</t>
  </si>
  <si>
    <t>구프로</t>
  </si>
  <si>
    <t>스릴러</t>
  </si>
  <si>
    <t>애정</t>
  </si>
  <si>
    <t>합계</t>
  </si>
  <si>
    <t>이름</t>
  </si>
  <si>
    <t>판매금액</t>
  </si>
  <si>
    <t>영업부</t>
  </si>
  <si>
    <t>제품코드별 판매 현황</t>
  </si>
  <si>
    <t>제품코드</t>
  </si>
  <si>
    <t>판매량</t>
  </si>
  <si>
    <t>단가</t>
  </si>
  <si>
    <t>원가비율</t>
  </si>
  <si>
    <t>구입원가</t>
  </si>
  <si>
    <t>총매출</t>
  </si>
  <si>
    <t>순이익</t>
  </si>
  <si>
    <t>tv-a</t>
  </si>
  <si>
    <t>고급형</t>
  </si>
  <si>
    <t>tv-b</t>
  </si>
  <si>
    <t>중급형</t>
  </si>
  <si>
    <t>tv-c</t>
  </si>
  <si>
    <t>보급형</t>
  </si>
  <si>
    <t>vtr-b</t>
  </si>
  <si>
    <t>vtr-c</t>
  </si>
  <si>
    <t>aud-a</t>
  </si>
  <si>
    <t>aud-b</t>
  </si>
  <si>
    <t>aud-c</t>
  </si>
  <si>
    <t>매출이익 분석</t>
  </si>
  <si>
    <t>상품단가</t>
  </si>
  <si>
    <t>판매수량</t>
  </si>
  <si>
    <t>인건비</t>
  </si>
  <si>
    <t>광고비</t>
  </si>
  <si>
    <t>관리비</t>
  </si>
  <si>
    <t>매출액</t>
  </si>
  <si>
    <t>매출이익</t>
  </si>
  <si>
    <t>영업이익률</t>
  </si>
  <si>
    <t>영업소별 라도스 재고현황</t>
  </si>
  <si>
    <t>영업소코드</t>
  </si>
  <si>
    <t>영업소명</t>
  </si>
  <si>
    <t>영업소장명</t>
  </si>
  <si>
    <t>입고량</t>
  </si>
  <si>
    <t>재고량</t>
  </si>
  <si>
    <t>SE-001</t>
  </si>
  <si>
    <t>서울</t>
  </si>
  <si>
    <t>김장철</t>
  </si>
  <si>
    <t>BU-002</t>
  </si>
  <si>
    <t>부산</t>
  </si>
  <si>
    <t>나진만</t>
  </si>
  <si>
    <t>DA-003</t>
  </si>
  <si>
    <t>대구</t>
  </si>
  <si>
    <t>도우미</t>
  </si>
  <si>
    <t>GW-004</t>
  </si>
  <si>
    <t>광주</t>
  </si>
  <si>
    <t>마음애</t>
  </si>
  <si>
    <t>TA-005</t>
  </si>
  <si>
    <t>대전</t>
  </si>
  <si>
    <t>박소희</t>
  </si>
  <si>
    <t>이다음</t>
  </si>
  <si>
    <t>조용이</t>
  </si>
  <si>
    <t>차주인</t>
  </si>
  <si>
    <t>홍가네</t>
  </si>
  <si>
    <t>부산지점 판매 현황</t>
  </si>
  <si>
    <t>날짜</t>
  </si>
  <si>
    <t>제품</t>
  </si>
  <si>
    <t>판매단가</t>
  </si>
  <si>
    <t>컴퓨터</t>
  </si>
  <si>
    <t>냉장고</t>
  </si>
  <si>
    <t>카메라</t>
  </si>
  <si>
    <t>모니터</t>
  </si>
  <si>
    <t>사원번호</t>
  </si>
  <si>
    <t>ID</t>
  </si>
  <si>
    <t>부서</t>
  </si>
  <si>
    <t>호봉</t>
  </si>
  <si>
    <t>경력(개월수)</t>
  </si>
  <si>
    <t>윤영근</t>
  </si>
  <si>
    <t>Rose-10</t>
  </si>
  <si>
    <t>기획실</t>
  </si>
  <si>
    <t>1급8호</t>
  </si>
  <si>
    <t>이수안</t>
  </si>
  <si>
    <t>Rose-11</t>
  </si>
  <si>
    <t>총무과</t>
  </si>
  <si>
    <t>1급9호</t>
  </si>
  <si>
    <t>이인상</t>
  </si>
  <si>
    <t>Rose-12</t>
  </si>
  <si>
    <t>2급8호</t>
  </si>
  <si>
    <t>최혜인</t>
  </si>
  <si>
    <t>Pig-a1</t>
  </si>
  <si>
    <t>2급9호</t>
  </si>
  <si>
    <t>윤인수</t>
  </si>
  <si>
    <t>Pig-a2</t>
  </si>
  <si>
    <t>4급8호</t>
  </si>
  <si>
    <t>김구완</t>
  </si>
  <si>
    <t>Pig-a3</t>
  </si>
  <si>
    <t>4급9호</t>
  </si>
  <si>
    <t>제갈량</t>
  </si>
  <si>
    <t>Car-11</t>
  </si>
  <si>
    <t>4급10호</t>
  </si>
  <si>
    <t>♠비디오 대여 관리♠</t>
    <phoneticPr fontId="2" type="noConversion"/>
  </si>
  <si>
    <t>상공상사 3월분 급여지급명세서</t>
    <phoneticPr fontId="2" type="noConversion"/>
  </si>
  <si>
    <t>성명</t>
    <phoneticPr fontId="2" type="noConversion"/>
  </si>
  <si>
    <t>직위</t>
    <phoneticPr fontId="2" type="noConversion"/>
  </si>
  <si>
    <t>기본급</t>
    <phoneticPr fontId="2" type="noConversion"/>
  </si>
  <si>
    <t>부서명</t>
    <phoneticPr fontId="2" type="noConversion"/>
  </si>
  <si>
    <t>수당</t>
    <phoneticPr fontId="2" type="noConversion"/>
  </si>
  <si>
    <t>상여급</t>
    <phoneticPr fontId="2" type="noConversion"/>
  </si>
  <si>
    <t>수령액</t>
    <phoneticPr fontId="2" type="noConversion"/>
  </si>
  <si>
    <t>윤범준</t>
    <phoneticPr fontId="2" type="noConversion"/>
  </si>
  <si>
    <t>신현빈</t>
    <phoneticPr fontId="2" type="noConversion"/>
  </si>
  <si>
    <t>김현수</t>
    <phoneticPr fontId="2" type="noConversion"/>
  </si>
  <si>
    <t>강동원</t>
    <phoneticPr fontId="2" type="noConversion"/>
  </si>
  <si>
    <t>김준호</t>
    <phoneticPr fontId="2" type="noConversion"/>
  </si>
  <si>
    <t>이만수</t>
    <phoneticPr fontId="2" type="noConversion"/>
  </si>
  <si>
    <t>한지효</t>
    <phoneticPr fontId="2" type="noConversion"/>
  </si>
  <si>
    <t>이정현</t>
    <phoneticPr fontId="2" type="noConversion"/>
  </si>
  <si>
    <t>한나라</t>
    <phoneticPr fontId="2" type="noConversion"/>
  </si>
  <si>
    <t>이수지</t>
    <phoneticPr fontId="2" type="noConversion"/>
  </si>
  <si>
    <t>안영미</t>
    <phoneticPr fontId="2" type="noConversion"/>
  </si>
  <si>
    <t>신혜선</t>
    <phoneticPr fontId="2" type="noConversion"/>
  </si>
  <si>
    <t>기획부</t>
    <phoneticPr fontId="2" type="noConversion"/>
  </si>
  <si>
    <t>생산부</t>
    <phoneticPr fontId="2" type="noConversion"/>
  </si>
  <si>
    <t>생산부</t>
    <phoneticPr fontId="2" type="noConversion"/>
  </si>
  <si>
    <t>생산부</t>
    <phoneticPr fontId="2" type="noConversion"/>
  </si>
  <si>
    <t>영업부</t>
    <phoneticPr fontId="2" type="noConversion"/>
  </si>
  <si>
    <t>영업부</t>
    <phoneticPr fontId="2" type="noConversion"/>
  </si>
  <si>
    <t>과장</t>
    <phoneticPr fontId="2" type="noConversion"/>
  </si>
  <si>
    <t>대리</t>
    <phoneticPr fontId="2" type="noConversion"/>
  </si>
  <si>
    <t>대리</t>
    <phoneticPr fontId="2" type="noConversion"/>
  </si>
  <si>
    <t>대리</t>
    <phoneticPr fontId="2" type="noConversion"/>
  </si>
  <si>
    <t>대리</t>
    <phoneticPr fontId="2" type="noConversion"/>
  </si>
  <si>
    <t>사원</t>
    <phoneticPr fontId="2" type="noConversion"/>
  </si>
  <si>
    <t>사원</t>
    <phoneticPr fontId="2" type="noConversion"/>
  </si>
  <si>
    <t>고급형 최대값</t>
  </si>
  <si>
    <t>보급형 최대값</t>
  </si>
  <si>
    <t>중급형 최대값</t>
  </si>
  <si>
    <t>전체 최대값</t>
  </si>
  <si>
    <t>고급형 최소값</t>
  </si>
  <si>
    <t>보급형 최소값</t>
  </si>
  <si>
    <t>중급형 최소값</t>
  </si>
  <si>
    <t>전체 최소값</t>
  </si>
  <si>
    <t>=IF(조건식, 참값, 거짓값)</t>
    <phoneticPr fontId="2" type="noConversion"/>
  </si>
  <si>
    <t>=IF(조건식, 참값, IF(조건식, 참값, IF(조건식, 참값, 나머지값)))</t>
    <phoneticPr fontId="2" type="noConversion"/>
  </si>
  <si>
    <t xml:space="preserve"> - 조건식이 참이면 참값을 출력하고, 그렇지 않으면 거짓값을 출력</t>
    <phoneticPr fontId="2" type="noConversion"/>
  </si>
  <si>
    <t xml:space="preserve"> - 중복 if함수 사용시 if함수의 개수는 결과값 -1개 만큼 사용 함</t>
    <phoneticPr fontId="2" type="noConversion"/>
  </si>
  <si>
    <t xml:space="preserve"> - 순위(석차)를 구하는 함수</t>
    <phoneticPr fontId="2" type="noConversion"/>
  </si>
  <si>
    <t>=RANK.EQ(석차를 구할 값 또는 셀, 비교할 값이 있는 셀 범위, 오름/내림 옵션)</t>
    <phoneticPr fontId="2" type="noConversion"/>
  </si>
  <si>
    <t xml:space="preserve">  - 셀 범위의 평균을 구함</t>
    <phoneticPr fontId="2" type="noConversion"/>
  </si>
  <si>
    <t>=AVERAGE(평균을 구할 셀 범위)</t>
    <phoneticPr fontId="2" type="noConversion"/>
  </si>
  <si>
    <t xml:space="preserve"> - 조건식을 만족하는 셀 범위의 평균을 구함</t>
    <phoneticPr fontId="2" type="noConversion"/>
  </si>
  <si>
    <t>=AVERAGEIF(조건 범위, "조건식", 평균을 구할 범위)</t>
    <phoneticPr fontId="2" type="noConversion"/>
  </si>
  <si>
    <t xml:space="preserve"> - 조건식 여러 개를 만족하는 셀 범위의 평균을 구함</t>
    <phoneticPr fontId="2" type="noConversion"/>
  </si>
  <si>
    <t>=AVERAGEIFS(평균을 구할 범위, 조건범위1, "조건식1",조건범위n,"조건식n",……………)</t>
    <phoneticPr fontId="2" type="noConversion"/>
  </si>
  <si>
    <t xml:space="preserve"> - 전체 범위 중에 선택한 열번호의 조건에 만족하는 셀의 합계를 구함</t>
    <phoneticPr fontId="2" type="noConversion"/>
  </si>
  <si>
    <t>=DSUM(전체범위, 합계를 구하려는 열 번호, 조건 범위)</t>
    <phoneticPr fontId="2" type="noConversion"/>
  </si>
  <si>
    <t xml:space="preserve"> - 계산된 셀 또는 함수의 결과값을 반 올림 함</t>
    <phoneticPr fontId="2" type="noConversion"/>
  </si>
  <si>
    <t>=ROUND(계산된 결과 값이 있는 셀 또는 함수, 자리수)</t>
    <phoneticPr fontId="2" type="noConversion"/>
  </si>
  <si>
    <t xml:space="preserve"> - 자리수 - </t>
    <phoneticPr fontId="2" type="noConversion"/>
  </si>
  <si>
    <t>양수(1,2,3,4)</t>
    <phoneticPr fontId="2" type="noConversion"/>
  </si>
  <si>
    <t>음수(-1,-2,-3,-4)</t>
    <phoneticPr fontId="2" type="noConversion"/>
  </si>
  <si>
    <t>영(0)</t>
    <phoneticPr fontId="2" type="noConversion"/>
  </si>
  <si>
    <t>소수점 자리수를 의미함</t>
    <phoneticPr fontId="2" type="noConversion"/>
  </si>
  <si>
    <t>정수 자리수를 의미함(천의자리, 백의자리, 등등)</t>
    <phoneticPr fontId="2" type="noConversion"/>
  </si>
  <si>
    <t>소수점이 없는 수를 의미함</t>
    <phoneticPr fontId="2" type="noConversion"/>
  </si>
  <si>
    <t xml:space="preserve"> - 나머지를 구함</t>
    <phoneticPr fontId="2" type="noConversion"/>
  </si>
  <si>
    <t>=MOD(나누어 지는 값 또는 셀, 나누는 값 또는 셀)</t>
    <phoneticPr fontId="2" type="noConversion"/>
  </si>
  <si>
    <t>=MOD(5,2)</t>
    <phoneticPr fontId="2" type="noConversion"/>
  </si>
  <si>
    <t>5를 2로 나누어 나오는 나머지 출력</t>
    <phoneticPr fontId="2" type="noConversion"/>
  </si>
  <si>
    <t xml:space="preserve"> - 기준값을 셀 범위에서 찾아서 원하는 값을 열을 기준으로 찾아 출력</t>
    <phoneticPr fontId="2" type="noConversion"/>
  </si>
  <si>
    <t>=VLOOKUP(찾을 값의 기준이 되는 값 또는 셀, 찾을 값이 있는 셀 범위, 찾을 값의 정확한 열 번호, 정확/유사 옵션)</t>
    <phoneticPr fontId="2" type="noConversion"/>
  </si>
  <si>
    <t xml:space="preserve"> - 조건식을 만족하는 셀 범위의 합계 구함</t>
    <phoneticPr fontId="2" type="noConversion"/>
  </si>
  <si>
    <t>=SUMIF(조건범위,"조건식",합계를 구할 범위)</t>
    <phoneticPr fontId="2" type="noConversion"/>
  </si>
  <si>
    <t xml:space="preserve"> - 조건식을 만족하는 셀 범위의 개수를 구함</t>
    <phoneticPr fontId="2" type="noConversion"/>
  </si>
  <si>
    <t>=COUNTIF(조건범위, "조건식")</t>
    <phoneticPr fontId="2" type="noConversion"/>
  </si>
  <si>
    <t xml:space="preserve"> -오른쪽 글자를 글자 수 만큰 가져와 출력</t>
    <phoneticPr fontId="2" type="noConversion"/>
  </si>
  <si>
    <t>=RIGHT(가져올 글자가 있는 셀 또는 값, 가져올 글자 수)</t>
    <phoneticPr fontId="2" type="noConversion"/>
  </si>
  <si>
    <t xml:space="preserve"> - 시, 분, 초 를 출력 </t>
    <phoneticPr fontId="2" type="noConversion"/>
  </si>
  <si>
    <t>=TIME(시, 분, 초)</t>
    <phoneticPr fontId="2" type="noConversion"/>
  </si>
  <si>
    <t xml:space="preserve"> - 조건식 여러 개를 만족하는 셀 범위의 합계을 구함</t>
    <phoneticPr fontId="2" type="noConversion"/>
  </si>
  <si>
    <t>=SUMIFS(합계을 구할 범위, 조건범위1, "조건식1",조건범위n,"조건식n",……………)</t>
    <phoneticPr fontId="2" type="noConversion"/>
  </si>
  <si>
    <t xml:space="preserve"> - 조건식 여러 개를 만족하는 셀 범위의 개수을 구함</t>
    <phoneticPr fontId="2" type="noConversion"/>
  </si>
  <si>
    <t>=COUNTIFS(조건범위1, "조건식1",조건범위n,"조건식n",……………)</t>
    <phoneticPr fontId="2" type="noConversion"/>
  </si>
  <si>
    <t xml:space="preserve"> - 지정한 셀 또는 함수식의 절대값 출력</t>
    <phoneticPr fontId="2" type="noConversion"/>
  </si>
  <si>
    <t>=ABS(절대 값으로 만들 셀 또는 함수 식)</t>
    <phoneticPr fontId="2" type="noConversion"/>
  </si>
  <si>
    <t>=ROUNDUP(계산된 결과 값이 있는 셀 또는 함수, 자리수)</t>
    <phoneticPr fontId="2" type="noConversion"/>
  </si>
  <si>
    <t>=ROUNDDOWN(계산된 결과 값이 있는 셀 또는 함수, 자리수)</t>
    <phoneticPr fontId="2" type="noConversion"/>
  </si>
  <si>
    <t xml:space="preserve"> - 계산된 셀 또는 함수의 결과값을 내림 함</t>
    <phoneticPr fontId="2" type="noConversion"/>
  </si>
  <si>
    <t xml:space="preserve"> - 계산된 셀 또는 함수의 결과값을 올림 함</t>
    <phoneticPr fontId="2" type="noConversion"/>
  </si>
  <si>
    <t xml:space="preserve"> - 전체 범위 중에 선택한 열번호의 조건에 만족하는 셀의 평균를 구함</t>
    <phoneticPr fontId="2" type="noConversion"/>
  </si>
  <si>
    <t>=DAVERAGE(전체범위, 평균를 구하려는 열 번호, 조건 범위)</t>
    <phoneticPr fontId="2" type="noConversion"/>
  </si>
  <si>
    <t xml:space="preserve"> - 인덱스 번호를 기준으로 값들 중에 선택하여 출력</t>
    <phoneticPr fontId="2" type="noConversion"/>
  </si>
  <si>
    <t>=CHOOSE(인데스 번호가 들어가는 셀 또는 함수 식, 값1, 값2, …….., 값n)</t>
    <phoneticPr fontId="2" type="noConversion"/>
  </si>
  <si>
    <t xml:space="preserve"> - 에러가 발생하면 대체할 값을 출력하고, 그렇지 않으면 원본 값을 출력</t>
    <phoneticPr fontId="2" type="noConversion"/>
  </si>
  <si>
    <t>=IFERROR(에러가 발생할 확률이 있는 계산 식 또는 셀, 에러 일때 출력 할 값)</t>
    <phoneticPr fontId="2" type="noConversion"/>
  </si>
  <si>
    <t xml:space="preserve"> - 전체 범위 중에 선택한 열번호의 조건에 만족하는 셀의 숫자 개수를 구함</t>
    <phoneticPr fontId="2" type="noConversion"/>
  </si>
  <si>
    <t>=DCOUNT(전체범위, 개수를 구하려는 열 번호, 조건 범위)</t>
    <phoneticPr fontId="2" type="noConversion"/>
  </si>
  <si>
    <t xml:space="preserve"> - 셀 범위 의 합계를 구함</t>
    <phoneticPr fontId="2" type="noConversion"/>
  </si>
  <si>
    <t>=SUM(합계를 구할 셀 범위)</t>
    <phoneticPr fontId="2" type="noConversion"/>
  </si>
  <si>
    <t xml:space="preserve"> - 선택한 문자 셀 또는 값 중에서 오른쪽에서 부터 문자를 잘라서 출력</t>
    <phoneticPr fontId="2" type="noConversion"/>
  </si>
  <si>
    <t>=RIGHT(문자가 있는 셀 또는 값, 가져올 글자 수)</t>
    <phoneticPr fontId="2" type="noConversion"/>
  </si>
  <si>
    <t xml:space="preserve"> - 완성된 함수 값 또는 셀 값을 내림하여 자리수 표시</t>
    <phoneticPr fontId="2" type="noConversion"/>
  </si>
  <si>
    <t>=TRUNC(함수 식 또는 셀 값, 자리수)</t>
    <phoneticPr fontId="2" type="noConversion"/>
  </si>
  <si>
    <t xml:space="preserve"> - 자리수 - </t>
    <phoneticPr fontId="2" type="noConversion"/>
  </si>
  <si>
    <t>양수(1,2,3,4)</t>
    <phoneticPr fontId="2" type="noConversion"/>
  </si>
  <si>
    <t>음수(-1,-2,-3,-4)</t>
    <phoneticPr fontId="2" type="noConversion"/>
  </si>
  <si>
    <t>영(0)</t>
    <phoneticPr fontId="2" type="noConversion"/>
  </si>
  <si>
    <t xml:space="preserve"> - 선택한 날짜데이터의 요일 번호를 출력(1-일, 2-월,……)</t>
    <phoneticPr fontId="2" type="noConversion"/>
  </si>
  <si>
    <t>=WEEKDAY(날짜 번호를 알고자 하는 날짜 셀 또는 값, 옵션(1-일(1), 2-월(1)…..)</t>
    <phoneticPr fontId="2" type="noConversion"/>
  </si>
  <si>
    <t xml:space="preserve"> -셀 범위의 행 위치와 열 위치를 입력하여 값을 출력</t>
    <phoneticPr fontId="2" type="noConversion"/>
  </si>
  <si>
    <t>=INDEX(출력할 값이 있는 셀 범위, 행 번호, 열 번호)</t>
    <phoneticPr fontId="2" type="noConversion"/>
  </si>
  <si>
    <t xml:space="preserve"> - 위치를 찾고자 하는 셀 값의 상대 위치를 출력</t>
    <phoneticPr fontId="2" type="noConversion"/>
  </si>
  <si>
    <r>
      <rPr>
        <sz val="11"/>
        <color theme="1"/>
        <rFont val="맑은 고딕"/>
        <family val="2"/>
        <charset val="129"/>
        <scheme val="minor"/>
      </rPr>
      <t>=MATCH(위치를 찾고자 하는 값, 값을 포함한 셀 범위, 옵션(정확(0), 오름(1), 내림(-1)))</t>
    </r>
    <phoneticPr fontId="2" type="noConversion"/>
  </si>
  <si>
    <t xml:space="preserve"> - 셀 범위 의 최대값을 출력</t>
    <phoneticPr fontId="2" type="noConversion"/>
  </si>
  <si>
    <t>=MAX(최대값을 구하고자 하는 셀 범위)</t>
    <phoneticPr fontId="2" type="noConversion"/>
  </si>
  <si>
    <t xml:space="preserve"> - 셀 범위 중 공백 셀을 제외한 셀의 개수를 출력</t>
    <phoneticPr fontId="2" type="noConversion"/>
  </si>
  <si>
    <t>=COUNTA(개수를 출력할 셀 범위)</t>
    <phoneticPr fontId="2" type="noConversion"/>
  </si>
  <si>
    <t xml:space="preserve"> -셀 범위 값들의 표준 편차를 출력</t>
    <phoneticPr fontId="2" type="noConversion"/>
  </si>
  <si>
    <t>=STDEV(표준 편차를 구할 셀 범위)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</si>
</sst>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0.0%"/>
    <numFmt numFmtId="177" formatCode="#,##0&quot;원&quot;"/>
    <numFmt numFmtId="178" formatCode="#,##0_ 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rgb="FF00B050"/>
      <name val="맑은 고딕"/>
      <family val="2"/>
      <charset val="129"/>
      <scheme val="minor"/>
    </font>
    <font>
      <sz val="11"/>
      <color rgb="FF00B05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/>
  </cellStyleXfs>
  <cellXfs count="3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1" fontId="0" fillId="0" borderId="10" xfId="1" applyFont="1" applyBorder="1">
      <alignment vertical="center"/>
    </xf>
    <xf numFmtId="41" fontId="0" fillId="0" borderId="11" xfId="1" applyFont="1" applyBorder="1">
      <alignment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9" fontId="0" fillId="0" borderId="12" xfId="2" applyFont="1" applyBorder="1" applyAlignment="1">
      <alignment horizontal="center" vertical="center"/>
    </xf>
    <xf numFmtId="0" fontId="0" fillId="0" borderId="6" xfId="1" applyNumberFormat="1" applyFont="1" applyBorder="1" applyAlignment="1">
      <alignment horizontal="center" vertical="center"/>
    </xf>
    <xf numFmtId="0" fontId="1" fillId="2" borderId="1" xfId="3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1" applyNumberFormat="1" applyFon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9" fontId="0" fillId="0" borderId="0" xfId="2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41" fontId="0" fillId="0" borderId="0" xfId="1" applyFont="1">
      <alignment vertical="center"/>
    </xf>
    <xf numFmtId="0" fontId="7" fillId="3" borderId="1" xfId="1" applyNumberFormat="1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8" fontId="0" fillId="0" borderId="1" xfId="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quotePrefix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quotePrefix="1" applyBorder="1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</cellXfs>
  <cellStyles count="5">
    <cellStyle name="40% - 강조색1" xfId="3" builtinId="31"/>
    <cellStyle name="백분율" xfId="2" builtinId="5"/>
    <cellStyle name="쉼표 [0]" xfId="1" builtinId="6"/>
    <cellStyle name="표준" xfId="0" builtinId="0"/>
    <cellStyle name="표준 2" xfId="4"/>
  </cellStyles>
  <dxfs count="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날짜별 판매금액 비교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strRef>
              <c:f>차트작업!$E$3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차트작업!$A$4:$A$8</c:f>
              <c:numCache>
                <c:formatCode>m/d/yyyy</c:formatCode>
                <c:ptCount val="5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</c:numCache>
            </c:numRef>
          </c:cat>
          <c:val>
            <c:numRef>
              <c:f>차트작업!$E$4:$E$8</c:f>
              <c:numCache>
                <c:formatCode>#,##0_ </c:formatCode>
                <c:ptCount val="5"/>
                <c:pt idx="0">
                  <c:v>8400</c:v>
                </c:pt>
                <c:pt idx="1">
                  <c:v>18000</c:v>
                </c:pt>
                <c:pt idx="2">
                  <c:v>3200</c:v>
                </c:pt>
                <c:pt idx="3">
                  <c:v>6300</c:v>
                </c:pt>
                <c:pt idx="4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16-4D9B-860A-25CFE81F5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19816256"/>
        <c:axId val="1019826656"/>
      </c:barChart>
      <c:dateAx>
        <c:axId val="1019816256"/>
        <c:scaling>
          <c:orientation val="maxMin"/>
        </c:scaling>
        <c:delete val="0"/>
        <c:axPos val="l"/>
        <c:numFmt formatCode="m&quot;월&quot;\ d&quot;일&quot;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19826656"/>
        <c:crosses val="autoZero"/>
        <c:auto val="1"/>
        <c:lblOffset val="100"/>
        <c:baseTimeUnit val="months"/>
      </c:dateAx>
      <c:valAx>
        <c:axId val="101982665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판매금액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1981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14</xdr:row>
      <xdr:rowOff>0</xdr:rowOff>
    </xdr:from>
    <xdr:to>
      <xdr:col>6</xdr:col>
      <xdr:colOff>0</xdr:colOff>
      <xdr:row>16</xdr:row>
      <xdr:rowOff>0</xdr:rowOff>
    </xdr:to>
    <xdr:sp macro="[0]!서식" textlink="">
      <xdr:nvSpPr>
        <xdr:cNvPr id="2" name="직사각형 1"/>
        <xdr:cNvSpPr/>
      </xdr:nvSpPr>
      <xdr:spPr>
        <a:xfrm>
          <a:off x="3048000" y="3000375"/>
          <a:ext cx="1371600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685799</xdr:colOff>
      <xdr:row>24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workbookViewId="0"/>
  </sheetViews>
  <sheetFormatPr defaultRowHeight="16.5" x14ac:dyDescent="0.3"/>
  <cols>
    <col min="6" max="6" width="12.25" bestFit="1" customWidth="1"/>
  </cols>
  <sheetData>
    <row r="1" spans="1:6" x14ac:dyDescent="0.3">
      <c r="A1" t="s">
        <v>0</v>
      </c>
    </row>
    <row r="3" spans="1:6" x14ac:dyDescent="0.3">
      <c r="A3" s="30" t="s">
        <v>78</v>
      </c>
      <c r="B3" s="30" t="s">
        <v>14</v>
      </c>
      <c r="C3" s="30" t="s">
        <v>79</v>
      </c>
      <c r="D3" s="30" t="s">
        <v>80</v>
      </c>
      <c r="E3" s="30" t="s">
        <v>81</v>
      </c>
      <c r="F3" s="30" t="s">
        <v>82</v>
      </c>
    </row>
    <row r="4" spans="1:6" x14ac:dyDescent="0.3">
      <c r="A4" s="30">
        <v>11002</v>
      </c>
      <c r="B4" s="30" t="s">
        <v>83</v>
      </c>
      <c r="C4" s="30" t="s">
        <v>84</v>
      </c>
      <c r="D4" s="30" t="s">
        <v>85</v>
      </c>
      <c r="E4" s="30" t="s">
        <v>86</v>
      </c>
      <c r="F4">
        <v>150</v>
      </c>
    </row>
    <row r="5" spans="1:6" x14ac:dyDescent="0.3">
      <c r="A5" s="30">
        <v>11003</v>
      </c>
      <c r="B5" s="30" t="s">
        <v>87</v>
      </c>
      <c r="C5" s="30" t="s">
        <v>88</v>
      </c>
      <c r="D5" s="30" t="s">
        <v>89</v>
      </c>
      <c r="E5" s="30" t="s">
        <v>90</v>
      </c>
      <c r="F5">
        <v>128</v>
      </c>
    </row>
    <row r="6" spans="1:6" x14ac:dyDescent="0.3">
      <c r="A6" s="30">
        <v>11004</v>
      </c>
      <c r="B6" s="30" t="s">
        <v>91</v>
      </c>
      <c r="C6" s="30" t="s">
        <v>92</v>
      </c>
      <c r="D6" s="30" t="s">
        <v>16</v>
      </c>
      <c r="E6" s="30" t="s">
        <v>93</v>
      </c>
      <c r="F6">
        <v>124</v>
      </c>
    </row>
    <row r="7" spans="1:6" x14ac:dyDescent="0.3">
      <c r="A7" s="30">
        <v>20015</v>
      </c>
      <c r="B7" s="30" t="s">
        <v>94</v>
      </c>
      <c r="C7" s="30" t="s">
        <v>95</v>
      </c>
      <c r="D7" s="30" t="s">
        <v>85</v>
      </c>
      <c r="E7" s="30" t="s">
        <v>96</v>
      </c>
      <c r="F7">
        <v>60</v>
      </c>
    </row>
    <row r="8" spans="1:6" x14ac:dyDescent="0.3">
      <c r="A8" s="30">
        <v>20016</v>
      </c>
      <c r="B8" s="30" t="s">
        <v>97</v>
      </c>
      <c r="C8" s="30" t="s">
        <v>98</v>
      </c>
      <c r="D8" s="30" t="s">
        <v>89</v>
      </c>
      <c r="E8" s="30" t="s">
        <v>99</v>
      </c>
      <c r="F8">
        <v>40</v>
      </c>
    </row>
    <row r="9" spans="1:6" x14ac:dyDescent="0.3">
      <c r="A9" s="30">
        <v>30017</v>
      </c>
      <c r="B9" s="30" t="s">
        <v>100</v>
      </c>
      <c r="C9" s="30" t="s">
        <v>101</v>
      </c>
      <c r="D9" s="30" t="s">
        <v>85</v>
      </c>
      <c r="E9" s="30" t="s">
        <v>102</v>
      </c>
      <c r="F9">
        <v>36</v>
      </c>
    </row>
    <row r="10" spans="1:6" x14ac:dyDescent="0.3">
      <c r="A10" s="30">
        <v>30018</v>
      </c>
      <c r="B10" s="30" t="s">
        <v>103</v>
      </c>
      <c r="C10" s="30" t="s">
        <v>104</v>
      </c>
      <c r="D10" s="30" t="s">
        <v>16</v>
      </c>
      <c r="E10" s="30" t="s">
        <v>105</v>
      </c>
      <c r="F10">
        <v>26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/>
  </sheetViews>
  <sheetFormatPr defaultRowHeight="16.5" x14ac:dyDescent="0.3"/>
  <cols>
    <col min="1" max="1" width="6.5" customWidth="1"/>
    <col min="2" max="5" width="9" customWidth="1"/>
    <col min="6" max="6" width="12.25" customWidth="1"/>
    <col min="7" max="7" width="11" bestFit="1" customWidth="1"/>
  </cols>
  <sheetData>
    <row r="1" spans="2:7" x14ac:dyDescent="0.3">
      <c r="D1" t="s">
        <v>106</v>
      </c>
    </row>
    <row r="2" spans="2:7" x14ac:dyDescent="0.3">
      <c r="G2" s="1"/>
    </row>
    <row r="3" spans="2:7" x14ac:dyDescent="0.3">
      <c r="B3" s="16" t="s">
        <v>1</v>
      </c>
      <c r="C3" s="16" t="s">
        <v>2</v>
      </c>
      <c r="D3" s="16" t="s">
        <v>3</v>
      </c>
      <c r="E3" s="16" t="s">
        <v>4</v>
      </c>
      <c r="F3" s="16" t="s">
        <v>5</v>
      </c>
      <c r="G3" s="16" t="s">
        <v>6</v>
      </c>
    </row>
    <row r="4" spans="2:7" x14ac:dyDescent="0.3">
      <c r="B4" s="34" t="s">
        <v>7</v>
      </c>
      <c r="C4" s="3" t="s">
        <v>8</v>
      </c>
      <c r="D4" s="3">
        <v>134</v>
      </c>
      <c r="E4" s="3">
        <v>60</v>
      </c>
      <c r="F4" s="17">
        <v>2.233333</v>
      </c>
      <c r="G4" s="18">
        <v>201000</v>
      </c>
    </row>
    <row r="5" spans="2:7" x14ac:dyDescent="0.3">
      <c r="B5" s="34"/>
      <c r="C5" s="3" t="s">
        <v>9</v>
      </c>
      <c r="D5" s="3">
        <v>88</v>
      </c>
      <c r="E5" s="3">
        <v>78</v>
      </c>
      <c r="F5" s="17">
        <v>1.1282049999999999</v>
      </c>
      <c r="G5" s="18">
        <v>88000</v>
      </c>
    </row>
    <row r="6" spans="2:7" x14ac:dyDescent="0.3">
      <c r="B6" s="34"/>
      <c r="C6" s="3" t="s">
        <v>10</v>
      </c>
      <c r="D6" s="3">
        <v>65</v>
      </c>
      <c r="E6" s="3">
        <v>20</v>
      </c>
      <c r="F6" s="17">
        <v>3.25</v>
      </c>
      <c r="G6" s="18">
        <v>65000</v>
      </c>
    </row>
    <row r="7" spans="2:7" x14ac:dyDescent="0.3">
      <c r="B7" s="34" t="s">
        <v>11</v>
      </c>
      <c r="C7" s="3" t="s">
        <v>8</v>
      </c>
      <c r="D7" s="3">
        <v>120</v>
      </c>
      <c r="E7" s="3">
        <v>87</v>
      </c>
      <c r="F7" s="17">
        <v>1.37931</v>
      </c>
      <c r="G7" s="18">
        <v>180000</v>
      </c>
    </row>
    <row r="8" spans="2:7" x14ac:dyDescent="0.3">
      <c r="B8" s="34"/>
      <c r="C8" s="3" t="s">
        <v>9</v>
      </c>
      <c r="D8" s="3">
        <v>56</v>
      </c>
      <c r="E8" s="3">
        <v>40</v>
      </c>
      <c r="F8" s="17">
        <v>1.4</v>
      </c>
      <c r="G8" s="18">
        <v>56000</v>
      </c>
    </row>
    <row r="9" spans="2:7" x14ac:dyDescent="0.3">
      <c r="B9" s="34"/>
      <c r="C9" s="3" t="s">
        <v>10</v>
      </c>
      <c r="D9" s="3">
        <v>30</v>
      </c>
      <c r="E9" s="3">
        <v>10</v>
      </c>
      <c r="F9" s="17">
        <v>3</v>
      </c>
      <c r="G9" s="18">
        <v>30000</v>
      </c>
    </row>
    <row r="10" spans="2:7" x14ac:dyDescent="0.3">
      <c r="B10" s="34" t="s">
        <v>12</v>
      </c>
      <c r="C10" s="3" t="s">
        <v>8</v>
      </c>
      <c r="D10" s="3">
        <v>100</v>
      </c>
      <c r="E10" s="3">
        <v>85</v>
      </c>
      <c r="F10" s="17">
        <v>1.176471</v>
      </c>
      <c r="G10" s="18">
        <v>150000</v>
      </c>
    </row>
    <row r="11" spans="2:7" x14ac:dyDescent="0.3">
      <c r="B11" s="34"/>
      <c r="C11" s="3" t="s">
        <v>9</v>
      </c>
      <c r="D11" s="3">
        <v>70</v>
      </c>
      <c r="E11" s="3">
        <v>45</v>
      </c>
      <c r="F11" s="17">
        <v>1.5555559999999999</v>
      </c>
      <c r="G11" s="18">
        <v>70000</v>
      </c>
    </row>
    <row r="12" spans="2:7" x14ac:dyDescent="0.3">
      <c r="B12" s="34"/>
      <c r="C12" s="3" t="s">
        <v>10</v>
      </c>
      <c r="D12" s="3">
        <v>40</v>
      </c>
      <c r="E12" s="3">
        <v>22</v>
      </c>
      <c r="F12" s="17">
        <v>1.818182</v>
      </c>
      <c r="G12" s="18">
        <v>40000</v>
      </c>
    </row>
    <row r="13" spans="2:7" x14ac:dyDescent="0.3">
      <c r="B13" s="3" t="s">
        <v>13</v>
      </c>
      <c r="C13" s="3"/>
      <c r="D13" s="3">
        <v>703</v>
      </c>
      <c r="E13" s="3">
        <v>447</v>
      </c>
      <c r="F13" s="2"/>
      <c r="G13" s="18">
        <v>880000</v>
      </c>
    </row>
  </sheetData>
  <mergeCells count="3">
    <mergeCell ref="B10:B12"/>
    <mergeCell ref="B7:B9"/>
    <mergeCell ref="B4:B6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sqref="A1:G1"/>
    </sheetView>
  </sheetViews>
  <sheetFormatPr defaultRowHeight="16.5" x14ac:dyDescent="0.3"/>
  <cols>
    <col min="4" max="4" width="13.125" bestFit="1" customWidth="1"/>
    <col min="5" max="5" width="11.25" bestFit="1" customWidth="1"/>
    <col min="6" max="7" width="13.125" bestFit="1" customWidth="1"/>
  </cols>
  <sheetData>
    <row r="1" spans="1:7" ht="20.25" x14ac:dyDescent="0.3">
      <c r="A1" s="35" t="s">
        <v>107</v>
      </c>
      <c r="B1" s="35"/>
      <c r="C1" s="35"/>
      <c r="D1" s="35"/>
      <c r="E1" s="35"/>
      <c r="F1" s="35"/>
      <c r="G1" s="35"/>
    </row>
    <row r="3" spans="1:7" x14ac:dyDescent="0.3">
      <c r="A3" s="3" t="s">
        <v>108</v>
      </c>
      <c r="B3" s="3" t="s">
        <v>111</v>
      </c>
      <c r="C3" s="3" t="s">
        <v>109</v>
      </c>
      <c r="D3" s="3" t="s">
        <v>110</v>
      </c>
      <c r="E3" s="3" t="s">
        <v>112</v>
      </c>
      <c r="F3" s="3" t="s">
        <v>113</v>
      </c>
      <c r="G3" s="3" t="s">
        <v>114</v>
      </c>
    </row>
    <row r="4" spans="1:7" x14ac:dyDescent="0.3">
      <c r="A4" s="3" t="s">
        <v>116</v>
      </c>
      <c r="B4" s="3" t="s">
        <v>127</v>
      </c>
      <c r="C4" s="3" t="s">
        <v>133</v>
      </c>
      <c r="D4" s="19">
        <v>3000000</v>
      </c>
      <c r="E4" s="19">
        <v>750000</v>
      </c>
      <c r="F4" s="19">
        <f>D4*50%</f>
        <v>1500000</v>
      </c>
      <c r="G4" s="19">
        <f>(D4+E4+F4)-(D4+E4+F4)*16%</f>
        <v>4410000</v>
      </c>
    </row>
    <row r="5" spans="1:7" x14ac:dyDescent="0.3">
      <c r="A5" s="3" t="s">
        <v>122</v>
      </c>
      <c r="B5" s="3" t="s">
        <v>127</v>
      </c>
      <c r="C5" s="3" t="s">
        <v>134</v>
      </c>
      <c r="D5" s="19">
        <v>2550000</v>
      </c>
      <c r="E5" s="19">
        <v>900000</v>
      </c>
      <c r="F5" s="19">
        <f t="shared" ref="F5:F15" si="0">D5*50%</f>
        <v>1275000</v>
      </c>
      <c r="G5" s="19">
        <f t="shared" ref="G5:G15" si="1">(D5+E5+F5)-(D5+E5+F5)*16%</f>
        <v>3969000</v>
      </c>
    </row>
    <row r="6" spans="1:7" x14ac:dyDescent="0.3">
      <c r="A6" s="3" t="s">
        <v>120</v>
      </c>
      <c r="B6" s="3" t="s">
        <v>127</v>
      </c>
      <c r="C6" s="3" t="s">
        <v>135</v>
      </c>
      <c r="D6" s="19">
        <v>2500000</v>
      </c>
      <c r="E6" s="19">
        <v>650000</v>
      </c>
      <c r="F6" s="19">
        <f t="shared" si="0"/>
        <v>1250000</v>
      </c>
      <c r="G6" s="19">
        <f t="shared" si="1"/>
        <v>3696000</v>
      </c>
    </row>
    <row r="7" spans="1:7" x14ac:dyDescent="0.3">
      <c r="A7" s="3" t="s">
        <v>123</v>
      </c>
      <c r="B7" s="3" t="s">
        <v>127</v>
      </c>
      <c r="C7" s="3" t="s">
        <v>138</v>
      </c>
      <c r="D7" s="19">
        <v>2100000</v>
      </c>
      <c r="E7" s="19">
        <v>800000</v>
      </c>
      <c r="F7" s="19">
        <f t="shared" si="0"/>
        <v>1050000</v>
      </c>
      <c r="G7" s="19">
        <f t="shared" si="1"/>
        <v>3318000</v>
      </c>
    </row>
    <row r="8" spans="1:7" x14ac:dyDescent="0.3">
      <c r="A8" s="3" t="s">
        <v>124</v>
      </c>
      <c r="B8" s="3" t="s">
        <v>128</v>
      </c>
      <c r="C8" s="3" t="s">
        <v>133</v>
      </c>
      <c r="D8" s="19">
        <v>3050000</v>
      </c>
      <c r="E8" s="19">
        <v>1000000</v>
      </c>
      <c r="F8" s="19">
        <f t="shared" si="0"/>
        <v>1525000</v>
      </c>
      <c r="G8" s="19">
        <f t="shared" si="1"/>
        <v>4683000</v>
      </c>
    </row>
    <row r="9" spans="1:7" x14ac:dyDescent="0.3">
      <c r="A9" s="3" t="s">
        <v>117</v>
      </c>
      <c r="B9" s="3" t="s">
        <v>129</v>
      </c>
      <c r="C9" s="3" t="s">
        <v>135</v>
      </c>
      <c r="D9" s="19">
        <v>2400000</v>
      </c>
      <c r="E9" s="19">
        <v>1200000</v>
      </c>
      <c r="F9" s="19">
        <f t="shared" si="0"/>
        <v>1200000</v>
      </c>
      <c r="G9" s="19">
        <f t="shared" si="1"/>
        <v>4032000</v>
      </c>
    </row>
    <row r="10" spans="1:7" x14ac:dyDescent="0.3">
      <c r="A10" s="3" t="s">
        <v>125</v>
      </c>
      <c r="B10" s="3" t="s">
        <v>130</v>
      </c>
      <c r="C10" s="3" t="s">
        <v>139</v>
      </c>
      <c r="D10" s="19">
        <v>2050000</v>
      </c>
      <c r="E10" s="19">
        <v>650000</v>
      </c>
      <c r="F10" s="19">
        <f t="shared" si="0"/>
        <v>1025000</v>
      </c>
      <c r="G10" s="19">
        <f t="shared" si="1"/>
        <v>3129000</v>
      </c>
    </row>
    <row r="11" spans="1:7" x14ac:dyDescent="0.3">
      <c r="A11" s="3" t="s">
        <v>126</v>
      </c>
      <c r="B11" s="3" t="s">
        <v>130</v>
      </c>
      <c r="C11" s="3" t="s">
        <v>138</v>
      </c>
      <c r="D11" s="19">
        <v>2100000</v>
      </c>
      <c r="E11" s="19">
        <v>800000</v>
      </c>
      <c r="F11" s="19">
        <f t="shared" si="0"/>
        <v>1050000</v>
      </c>
      <c r="G11" s="19">
        <f t="shared" si="1"/>
        <v>3318000</v>
      </c>
    </row>
    <row r="12" spans="1:7" x14ac:dyDescent="0.3">
      <c r="A12" s="3" t="s">
        <v>119</v>
      </c>
      <c r="B12" s="3" t="s">
        <v>131</v>
      </c>
      <c r="C12" s="3" t="s">
        <v>133</v>
      </c>
      <c r="D12" s="19">
        <v>2950000</v>
      </c>
      <c r="E12" s="19">
        <v>1000000</v>
      </c>
      <c r="F12" s="19">
        <f t="shared" si="0"/>
        <v>1475000</v>
      </c>
      <c r="G12" s="19">
        <f t="shared" si="1"/>
        <v>4557000</v>
      </c>
    </row>
    <row r="13" spans="1:7" x14ac:dyDescent="0.3">
      <c r="A13" s="3" t="s">
        <v>118</v>
      </c>
      <c r="B13" s="3" t="s">
        <v>131</v>
      </c>
      <c r="C13" s="3" t="s">
        <v>137</v>
      </c>
      <c r="D13" s="19">
        <v>2500000</v>
      </c>
      <c r="E13" s="19">
        <v>1150000</v>
      </c>
      <c r="F13" s="19">
        <f t="shared" si="0"/>
        <v>1250000</v>
      </c>
      <c r="G13" s="19">
        <f t="shared" si="1"/>
        <v>4116000</v>
      </c>
    </row>
    <row r="14" spans="1:7" x14ac:dyDescent="0.3">
      <c r="A14" s="3" t="s">
        <v>121</v>
      </c>
      <c r="B14" s="3" t="s">
        <v>132</v>
      </c>
      <c r="C14" s="3" t="s">
        <v>136</v>
      </c>
      <c r="D14" s="19">
        <v>2450000</v>
      </c>
      <c r="E14" s="19">
        <v>600000</v>
      </c>
      <c r="F14" s="19">
        <f t="shared" si="0"/>
        <v>1225000</v>
      </c>
      <c r="G14" s="19">
        <f t="shared" si="1"/>
        <v>3591000</v>
      </c>
    </row>
    <row r="15" spans="1:7" x14ac:dyDescent="0.3">
      <c r="A15" s="3" t="s">
        <v>115</v>
      </c>
      <c r="B15" s="3" t="s">
        <v>131</v>
      </c>
      <c r="C15" s="3" t="s">
        <v>138</v>
      </c>
      <c r="D15" s="19">
        <v>2000000</v>
      </c>
      <c r="E15" s="19">
        <v>750000</v>
      </c>
      <c r="F15" s="19">
        <f t="shared" si="0"/>
        <v>1000000</v>
      </c>
      <c r="G15" s="19">
        <f t="shared" si="1"/>
        <v>3150000</v>
      </c>
    </row>
  </sheetData>
  <mergeCells count="1">
    <mergeCell ref="A1:G1"/>
  </mergeCells>
  <phoneticPr fontId="2" type="noConversion"/>
  <conditionalFormatting sqref="A4:G15">
    <cfRule type="expression" dxfId="2" priority="1">
      <formula>AND($C4="대리",$G4&lt;4000000)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79"/>
  <sheetViews>
    <sheetView tabSelected="1" view="pageBreakPreview" zoomScale="60" zoomScaleNormal="130" workbookViewId="0">
      <selection activeCell="H40" sqref="H40"/>
    </sheetView>
  </sheetViews>
  <sheetFormatPr defaultRowHeight="16.5" x14ac:dyDescent="0.3"/>
  <cols>
    <col min="1" max="1" width="2.375" customWidth="1"/>
    <col min="2" max="2" width="5.25" customWidth="1"/>
    <col min="3" max="3" width="9.75" customWidth="1"/>
    <col min="4" max="4" width="2.75" customWidth="1"/>
    <col min="5" max="6" width="1.875" customWidth="1"/>
    <col min="7" max="7" width="28" customWidth="1"/>
    <col min="8" max="8" width="58.25" bestFit="1" customWidth="1"/>
    <col min="9" max="9" width="5.375" customWidth="1"/>
    <col min="10" max="10" width="3.625" customWidth="1"/>
    <col min="11" max="11" width="4.625" customWidth="1"/>
    <col min="13" max="13" width="4.5" customWidth="1"/>
    <col min="14" max="14" width="11.5" customWidth="1"/>
  </cols>
  <sheetData>
    <row r="1" spans="2:14" x14ac:dyDescent="0.3">
      <c r="B1" s="2" t="s">
        <v>150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2:14" x14ac:dyDescent="0.3">
      <c r="B2" s="31" t="s">
        <v>148</v>
      </c>
      <c r="C2" s="32"/>
      <c r="D2" s="32"/>
      <c r="E2" s="32"/>
      <c r="F2" s="32"/>
      <c r="G2" s="32"/>
      <c r="H2" s="32"/>
      <c r="I2" s="2"/>
      <c r="J2" s="2"/>
      <c r="K2" s="2"/>
      <c r="L2" s="2"/>
      <c r="M2" s="2"/>
      <c r="N2" s="2"/>
    </row>
    <row r="3" spans="2:14" x14ac:dyDescent="0.3">
      <c r="B3" s="31" t="s">
        <v>149</v>
      </c>
      <c r="C3" s="32"/>
      <c r="D3" s="32"/>
      <c r="E3" s="32"/>
      <c r="F3" s="32"/>
      <c r="G3" s="32"/>
      <c r="H3" s="32"/>
      <c r="I3" s="2"/>
      <c r="J3" s="2"/>
      <c r="K3" s="2"/>
      <c r="L3" s="2"/>
      <c r="M3" s="2"/>
      <c r="N3" s="2"/>
    </row>
    <row r="4" spans="2:14" x14ac:dyDescent="0.3">
      <c r="B4" s="32" t="s">
        <v>151</v>
      </c>
      <c r="C4" s="32"/>
      <c r="D4" s="32"/>
      <c r="E4" s="32"/>
      <c r="F4" s="32"/>
      <c r="G4" s="32"/>
      <c r="H4" s="32"/>
      <c r="I4" s="2"/>
      <c r="J4" s="2"/>
      <c r="K4" s="2"/>
      <c r="L4" s="2"/>
      <c r="M4" s="2"/>
      <c r="N4" s="2"/>
    </row>
    <row r="5" spans="2:14" x14ac:dyDescent="0.3">
      <c r="B5" s="32"/>
      <c r="C5" s="32"/>
      <c r="D5" s="32"/>
      <c r="E5" s="32"/>
      <c r="F5" s="32"/>
      <c r="G5" s="32"/>
      <c r="H5" s="32"/>
      <c r="I5" s="2"/>
      <c r="J5" s="2"/>
      <c r="K5" s="2"/>
      <c r="L5" s="2"/>
      <c r="M5" s="2"/>
      <c r="N5" s="2"/>
    </row>
    <row r="6" spans="2:14" x14ac:dyDescent="0.3">
      <c r="B6" s="32" t="s">
        <v>152</v>
      </c>
      <c r="C6" s="32"/>
      <c r="D6" s="32"/>
      <c r="E6" s="32"/>
      <c r="F6" s="32"/>
      <c r="G6" s="32"/>
      <c r="H6" s="32"/>
      <c r="I6" s="2"/>
      <c r="J6" s="2"/>
      <c r="K6" s="2"/>
      <c r="L6" s="2"/>
      <c r="M6" s="2"/>
      <c r="N6" s="2"/>
    </row>
    <row r="7" spans="2:14" x14ac:dyDescent="0.3">
      <c r="B7" s="31" t="s">
        <v>153</v>
      </c>
      <c r="C7" s="32"/>
      <c r="D7" s="32"/>
      <c r="E7" s="32"/>
      <c r="F7" s="32"/>
      <c r="G7" s="32"/>
      <c r="H7" s="32"/>
      <c r="I7" s="2"/>
      <c r="J7" s="2"/>
      <c r="K7" s="2"/>
      <c r="L7" s="2"/>
      <c r="M7" s="2"/>
      <c r="N7" s="2"/>
    </row>
    <row r="8" spans="2:14" x14ac:dyDescent="0.3">
      <c r="B8" s="32" t="s">
        <v>154</v>
      </c>
      <c r="C8" s="32"/>
      <c r="D8" s="32"/>
      <c r="E8" s="32"/>
      <c r="F8" s="32"/>
      <c r="G8" s="32"/>
      <c r="H8" s="32"/>
      <c r="I8" s="2"/>
      <c r="J8" s="2"/>
      <c r="K8" s="2"/>
      <c r="L8" s="2"/>
      <c r="M8" s="2"/>
      <c r="N8" s="2"/>
    </row>
    <row r="9" spans="2:14" x14ac:dyDescent="0.3">
      <c r="B9" s="31" t="s">
        <v>155</v>
      </c>
      <c r="C9" s="32"/>
      <c r="D9" s="32"/>
      <c r="E9" s="32"/>
      <c r="F9" s="32"/>
      <c r="G9" s="32"/>
      <c r="H9" s="32"/>
      <c r="I9" s="2"/>
      <c r="J9" s="2"/>
      <c r="K9" s="2"/>
      <c r="L9" s="2"/>
      <c r="M9" s="2"/>
      <c r="N9" s="2"/>
    </row>
    <row r="10" spans="2:14" x14ac:dyDescent="0.3">
      <c r="B10" s="32" t="s">
        <v>156</v>
      </c>
      <c r="C10" s="32"/>
      <c r="D10" s="32"/>
      <c r="E10" s="32"/>
      <c r="F10" s="32"/>
      <c r="G10" s="32"/>
      <c r="H10" s="32"/>
      <c r="I10" s="2"/>
      <c r="J10" s="2"/>
      <c r="K10" s="2"/>
      <c r="L10" s="2"/>
      <c r="M10" s="2"/>
      <c r="N10" s="2"/>
    </row>
    <row r="11" spans="2:14" x14ac:dyDescent="0.3">
      <c r="B11" s="31" t="s">
        <v>157</v>
      </c>
      <c r="C11" s="32"/>
      <c r="D11" s="32"/>
      <c r="E11" s="32"/>
      <c r="F11" s="32"/>
      <c r="G11" s="32"/>
      <c r="H11" s="32"/>
      <c r="I11" s="2"/>
      <c r="J11" s="2"/>
      <c r="K11" s="2"/>
      <c r="L11" s="2"/>
      <c r="M11" s="2"/>
      <c r="N11" s="2"/>
    </row>
    <row r="12" spans="2:14" x14ac:dyDescent="0.3">
      <c r="B12" s="32" t="s">
        <v>158</v>
      </c>
      <c r="C12" s="32"/>
      <c r="D12" s="32"/>
      <c r="E12" s="32"/>
      <c r="F12" s="32"/>
      <c r="G12" s="32"/>
      <c r="H12" s="32"/>
      <c r="I12" s="2"/>
      <c r="J12" s="2"/>
      <c r="K12" s="2"/>
      <c r="L12" s="2"/>
      <c r="M12" s="2"/>
      <c r="N12" s="2"/>
    </row>
    <row r="13" spans="2:14" x14ac:dyDescent="0.3">
      <c r="B13" s="31" t="s">
        <v>159</v>
      </c>
      <c r="C13" s="32"/>
      <c r="D13" s="32"/>
      <c r="E13" s="32"/>
      <c r="F13" s="32"/>
      <c r="G13" s="32"/>
      <c r="H13" s="32"/>
      <c r="I13" s="2"/>
      <c r="J13" s="2"/>
      <c r="K13" s="2"/>
      <c r="L13" s="2"/>
      <c r="M13" s="2"/>
      <c r="N13" s="2"/>
    </row>
    <row r="14" spans="2:14" x14ac:dyDescent="0.3">
      <c r="B14" s="32" t="s">
        <v>160</v>
      </c>
      <c r="C14" s="32"/>
      <c r="D14" s="32"/>
      <c r="E14" s="32"/>
      <c r="F14" s="32"/>
      <c r="G14" s="32"/>
      <c r="H14" s="32"/>
      <c r="I14" s="2"/>
      <c r="J14" s="2"/>
      <c r="K14" s="2"/>
      <c r="L14" s="2"/>
      <c r="M14" s="2"/>
      <c r="N14" s="2"/>
    </row>
    <row r="15" spans="2:14" x14ac:dyDescent="0.3">
      <c r="B15" s="31" t="s">
        <v>161</v>
      </c>
      <c r="C15" s="32"/>
      <c r="D15" s="32"/>
      <c r="E15" s="32"/>
      <c r="F15" s="32"/>
      <c r="G15" s="32"/>
      <c r="H15" s="32"/>
      <c r="I15" s="2"/>
      <c r="J15" s="2"/>
      <c r="K15" s="2"/>
      <c r="L15" s="2"/>
      <c r="M15" s="2"/>
      <c r="N15" s="2"/>
    </row>
    <row r="16" spans="2:14" x14ac:dyDescent="0.3">
      <c r="B16" s="32" t="s">
        <v>162</v>
      </c>
      <c r="C16" s="32"/>
      <c r="D16" s="32"/>
      <c r="E16" s="32"/>
      <c r="F16" s="32"/>
      <c r="G16" s="32"/>
      <c r="H16" s="32"/>
      <c r="I16" s="2"/>
      <c r="J16" s="2"/>
      <c r="K16" s="2"/>
      <c r="L16" s="2"/>
      <c r="M16" s="2"/>
      <c r="N16" s="2"/>
    </row>
    <row r="17" spans="2:14" x14ac:dyDescent="0.3">
      <c r="B17" s="31" t="s">
        <v>163</v>
      </c>
      <c r="C17" s="32"/>
      <c r="D17" s="32"/>
      <c r="E17" s="32"/>
      <c r="F17" s="32"/>
      <c r="G17" s="32"/>
      <c r="H17" s="32"/>
      <c r="I17" s="2"/>
      <c r="J17" s="2"/>
      <c r="K17" s="2"/>
      <c r="L17" s="2"/>
      <c r="M17" s="2"/>
      <c r="N17" s="2"/>
    </row>
    <row r="18" spans="2:14" x14ac:dyDescent="0.3">
      <c r="B18" s="32" t="s">
        <v>164</v>
      </c>
      <c r="C18" s="32"/>
      <c r="D18" s="32"/>
      <c r="E18" s="32"/>
      <c r="F18" s="32"/>
      <c r="G18" s="32"/>
      <c r="H18" s="32"/>
      <c r="I18" s="2"/>
      <c r="J18" s="2"/>
      <c r="K18" s="2"/>
      <c r="L18" s="2"/>
      <c r="M18" s="2"/>
      <c r="N18" s="2"/>
    </row>
    <row r="19" spans="2:14" x14ac:dyDescent="0.3">
      <c r="B19" s="32" t="s">
        <v>165</v>
      </c>
      <c r="C19" s="32"/>
      <c r="D19" s="32" t="s">
        <v>168</v>
      </c>
      <c r="E19" s="32"/>
      <c r="F19" s="32"/>
      <c r="G19" s="32"/>
      <c r="H19" s="32"/>
      <c r="I19" s="2"/>
      <c r="J19" s="2"/>
      <c r="K19" s="2"/>
      <c r="L19" s="2"/>
      <c r="M19" s="2"/>
      <c r="N19" s="2"/>
    </row>
    <row r="20" spans="2:14" x14ac:dyDescent="0.3">
      <c r="B20" s="32" t="s">
        <v>166</v>
      </c>
      <c r="C20" s="32"/>
      <c r="D20" s="32" t="s">
        <v>169</v>
      </c>
      <c r="E20" s="32"/>
      <c r="F20" s="32"/>
      <c r="G20" s="32"/>
      <c r="H20" s="32"/>
      <c r="I20" s="2"/>
      <c r="J20" s="2"/>
      <c r="K20" s="2"/>
      <c r="L20" s="2"/>
      <c r="M20" s="2"/>
      <c r="N20" s="2"/>
    </row>
    <row r="21" spans="2:14" x14ac:dyDescent="0.3">
      <c r="B21" s="32" t="s">
        <v>167</v>
      </c>
      <c r="C21" s="32"/>
      <c r="D21" s="32" t="s">
        <v>170</v>
      </c>
      <c r="E21" s="32"/>
      <c r="F21" s="32"/>
      <c r="G21" s="32"/>
      <c r="H21" s="32"/>
      <c r="I21" s="2"/>
      <c r="J21" s="2"/>
      <c r="K21" s="2"/>
      <c r="L21" s="2"/>
      <c r="M21" s="2"/>
      <c r="N21" s="2"/>
    </row>
    <row r="22" spans="2:14" x14ac:dyDescent="0.3">
      <c r="B22" s="32"/>
      <c r="C22" s="32"/>
      <c r="D22" s="32"/>
      <c r="E22" s="32"/>
      <c r="F22" s="32"/>
      <c r="G22" s="32"/>
      <c r="H22" s="32"/>
      <c r="I22" s="2"/>
      <c r="J22" s="2"/>
      <c r="K22" s="2"/>
      <c r="L22" s="2"/>
      <c r="M22" s="2"/>
      <c r="N22" s="2"/>
    </row>
    <row r="23" spans="2:14" x14ac:dyDescent="0.3">
      <c r="B23" s="32" t="s">
        <v>171</v>
      </c>
      <c r="C23" s="32"/>
      <c r="D23" s="32"/>
      <c r="E23" s="32"/>
      <c r="F23" s="32"/>
      <c r="G23" s="32"/>
      <c r="H23" s="32"/>
      <c r="I23" s="2"/>
      <c r="J23" s="2"/>
      <c r="K23" s="2"/>
      <c r="L23" s="2"/>
      <c r="M23" s="2"/>
      <c r="N23" s="2"/>
    </row>
    <row r="24" spans="2:14" x14ac:dyDescent="0.3">
      <c r="B24" s="31" t="s">
        <v>172</v>
      </c>
      <c r="C24" s="32"/>
      <c r="D24" s="32"/>
      <c r="E24" s="32"/>
      <c r="F24" s="32"/>
      <c r="G24" s="31" t="s">
        <v>173</v>
      </c>
      <c r="H24" s="32" t="s">
        <v>174</v>
      </c>
      <c r="I24" s="2"/>
      <c r="J24" s="2"/>
      <c r="K24" s="2"/>
      <c r="L24" s="2"/>
      <c r="M24" s="2"/>
      <c r="N24" s="2"/>
    </row>
    <row r="25" spans="2:14" x14ac:dyDescent="0.3">
      <c r="B25" s="32" t="s">
        <v>175</v>
      </c>
      <c r="C25" s="32"/>
      <c r="D25" s="32"/>
      <c r="E25" s="32"/>
      <c r="F25" s="32"/>
      <c r="G25" s="32"/>
      <c r="H25" s="32"/>
      <c r="I25" s="2"/>
      <c r="J25" s="2"/>
      <c r="K25" s="2"/>
      <c r="L25" s="2"/>
      <c r="M25" s="2"/>
      <c r="N25" s="2"/>
    </row>
    <row r="26" spans="2:14" x14ac:dyDescent="0.3">
      <c r="B26" s="31" t="s">
        <v>176</v>
      </c>
      <c r="C26" s="32"/>
      <c r="D26" s="32"/>
      <c r="E26" s="32"/>
      <c r="F26" s="32"/>
      <c r="G26" s="32"/>
      <c r="H26" s="32"/>
      <c r="I26" s="2"/>
      <c r="J26" s="2"/>
      <c r="K26" s="2"/>
      <c r="L26" s="2"/>
      <c r="M26" s="2"/>
      <c r="N26" s="2"/>
    </row>
    <row r="27" spans="2:14" x14ac:dyDescent="0.3">
      <c r="B27" s="32" t="s">
        <v>177</v>
      </c>
      <c r="C27" s="32"/>
      <c r="D27" s="32"/>
      <c r="E27" s="32"/>
      <c r="F27" s="32"/>
      <c r="G27" s="32"/>
      <c r="H27" s="32"/>
      <c r="I27" s="2"/>
      <c r="J27" s="2"/>
      <c r="K27" s="2"/>
      <c r="L27" s="2"/>
      <c r="M27" s="2"/>
      <c r="N27" s="2"/>
    </row>
    <row r="28" spans="2:14" x14ac:dyDescent="0.3">
      <c r="B28" s="31" t="s">
        <v>178</v>
      </c>
      <c r="C28" s="32"/>
      <c r="D28" s="32"/>
      <c r="E28" s="32"/>
      <c r="F28" s="32"/>
      <c r="G28" s="32"/>
      <c r="H28" s="32"/>
      <c r="I28" s="2"/>
      <c r="J28" s="2"/>
      <c r="K28" s="2"/>
      <c r="L28" s="2"/>
      <c r="M28" s="2"/>
      <c r="N28" s="2"/>
    </row>
    <row r="29" spans="2:14" x14ac:dyDescent="0.3">
      <c r="B29" s="32" t="s">
        <v>179</v>
      </c>
      <c r="C29" s="32"/>
      <c r="D29" s="32"/>
      <c r="E29" s="32"/>
      <c r="F29" s="32"/>
      <c r="G29" s="32"/>
      <c r="H29" s="32"/>
      <c r="I29" s="2"/>
      <c r="J29" s="2"/>
      <c r="K29" s="2"/>
      <c r="L29" s="2"/>
      <c r="M29" s="2"/>
      <c r="N29" s="2"/>
    </row>
    <row r="30" spans="2:14" x14ac:dyDescent="0.3">
      <c r="B30" s="31" t="s">
        <v>180</v>
      </c>
      <c r="C30" s="32"/>
      <c r="D30" s="32"/>
      <c r="E30" s="32"/>
      <c r="F30" s="32"/>
      <c r="G30" s="32"/>
      <c r="H30" s="32"/>
      <c r="I30" s="2"/>
      <c r="J30" s="2"/>
      <c r="K30" s="2"/>
      <c r="L30" s="2"/>
      <c r="M30" s="2"/>
      <c r="N30" s="2"/>
    </row>
    <row r="31" spans="2:14" x14ac:dyDescent="0.3">
      <c r="B31" s="32" t="s">
        <v>181</v>
      </c>
      <c r="C31" s="32"/>
      <c r="D31" s="32"/>
      <c r="E31" s="32"/>
      <c r="F31" s="32"/>
      <c r="G31" s="32"/>
      <c r="H31" s="32"/>
      <c r="I31" s="2"/>
      <c r="J31" s="2"/>
      <c r="K31" s="2"/>
      <c r="L31" s="2"/>
      <c r="M31" s="2"/>
      <c r="N31" s="2"/>
    </row>
    <row r="32" spans="2:14" x14ac:dyDescent="0.3">
      <c r="B32" s="31" t="s">
        <v>182</v>
      </c>
      <c r="C32" s="32"/>
      <c r="D32" s="32"/>
      <c r="E32" s="32"/>
      <c r="F32" s="32"/>
      <c r="G32" s="32"/>
      <c r="H32" s="32"/>
      <c r="I32" s="2"/>
      <c r="J32" s="2"/>
      <c r="K32" s="2"/>
      <c r="L32" s="2"/>
      <c r="M32" s="2"/>
      <c r="N32" s="2"/>
    </row>
    <row r="33" spans="2:14" x14ac:dyDescent="0.3">
      <c r="B33" s="32" t="s">
        <v>183</v>
      </c>
      <c r="C33" s="32"/>
      <c r="D33" s="32"/>
      <c r="E33" s="32"/>
      <c r="F33" s="32"/>
      <c r="G33" s="32"/>
      <c r="H33" s="32"/>
      <c r="I33" s="2"/>
      <c r="J33" s="2"/>
      <c r="K33" s="2"/>
      <c r="L33" s="2"/>
      <c r="M33" s="2"/>
      <c r="N33" s="2"/>
    </row>
    <row r="34" spans="2:14" x14ac:dyDescent="0.3">
      <c r="B34" s="31" t="s">
        <v>184</v>
      </c>
      <c r="C34" s="32"/>
      <c r="D34" s="32"/>
      <c r="E34" s="32"/>
      <c r="F34" s="32"/>
      <c r="G34" s="32"/>
      <c r="H34" s="32"/>
      <c r="I34" s="2"/>
      <c r="J34" s="2"/>
      <c r="K34" s="2"/>
      <c r="L34" s="2"/>
      <c r="M34" s="2"/>
      <c r="N34" s="2"/>
    </row>
    <row r="35" spans="2:14" x14ac:dyDescent="0.3">
      <c r="B35" s="32" t="s">
        <v>185</v>
      </c>
      <c r="C35" s="32"/>
      <c r="D35" s="32"/>
      <c r="E35" s="32"/>
      <c r="F35" s="32"/>
      <c r="G35" s="32"/>
      <c r="H35" s="32"/>
      <c r="I35" s="2"/>
      <c r="J35" s="2"/>
      <c r="K35" s="2"/>
      <c r="L35" s="2"/>
      <c r="M35" s="2"/>
      <c r="N35" s="2"/>
    </row>
    <row r="36" spans="2:14" x14ac:dyDescent="0.3">
      <c r="B36" s="31" t="s">
        <v>186</v>
      </c>
      <c r="C36" s="32"/>
      <c r="D36" s="32"/>
      <c r="E36" s="32"/>
      <c r="F36" s="32"/>
      <c r="G36" s="32"/>
      <c r="H36" s="32"/>
      <c r="I36" s="2"/>
      <c r="J36" s="2"/>
      <c r="K36" s="2"/>
      <c r="L36" s="2"/>
      <c r="M36" s="2"/>
      <c r="N36" s="2"/>
    </row>
    <row r="37" spans="2:14" x14ac:dyDescent="0.3">
      <c r="B37" s="32" t="s">
        <v>187</v>
      </c>
      <c r="C37" s="32"/>
      <c r="D37" s="32"/>
      <c r="E37" s="32"/>
      <c r="F37" s="32"/>
      <c r="G37" s="32"/>
      <c r="H37" s="32"/>
      <c r="I37" s="2"/>
      <c r="J37" s="2"/>
      <c r="K37" s="2"/>
      <c r="L37" s="2"/>
      <c r="M37" s="2"/>
      <c r="N37" s="2"/>
    </row>
    <row r="38" spans="2:14" x14ac:dyDescent="0.3">
      <c r="B38" s="31" t="s">
        <v>188</v>
      </c>
      <c r="C38" s="32"/>
      <c r="D38" s="32"/>
      <c r="E38" s="32"/>
      <c r="F38" s="32"/>
      <c r="G38" s="32"/>
      <c r="H38" s="32"/>
      <c r="I38" s="2"/>
      <c r="J38" s="2"/>
      <c r="K38" s="2"/>
      <c r="L38" s="2"/>
      <c r="M38" s="2"/>
      <c r="N38" s="2"/>
    </row>
    <row r="39" spans="2:14" x14ac:dyDescent="0.3">
      <c r="B39" s="32" t="s">
        <v>189</v>
      </c>
      <c r="C39" s="32"/>
      <c r="D39" s="32"/>
      <c r="E39" s="32"/>
      <c r="F39" s="32"/>
      <c r="G39" s="32"/>
      <c r="H39" s="32"/>
      <c r="I39" s="2"/>
      <c r="J39" s="2"/>
      <c r="K39" s="2"/>
      <c r="L39" s="2"/>
      <c r="M39" s="2"/>
      <c r="N39" s="2"/>
    </row>
    <row r="40" spans="2:14" x14ac:dyDescent="0.3">
      <c r="B40" s="31" t="s">
        <v>190</v>
      </c>
      <c r="C40" s="32"/>
      <c r="D40" s="32"/>
      <c r="E40" s="32"/>
      <c r="F40" s="32"/>
      <c r="G40" s="32"/>
      <c r="H40" s="32"/>
      <c r="I40" s="2"/>
      <c r="J40" s="2"/>
      <c r="K40" s="2"/>
      <c r="L40" s="2"/>
      <c r="M40" s="2"/>
      <c r="N40" s="2"/>
    </row>
    <row r="41" spans="2:14" x14ac:dyDescent="0.3">
      <c r="B41" s="32" t="s">
        <v>194</v>
      </c>
      <c r="C41" s="32"/>
      <c r="D41" s="32"/>
      <c r="E41" s="32"/>
      <c r="F41" s="32"/>
      <c r="G41" s="32"/>
      <c r="H41" s="32" t="s">
        <v>193</v>
      </c>
      <c r="I41" s="2"/>
      <c r="J41" s="2"/>
      <c r="K41" s="2"/>
      <c r="L41" s="2"/>
      <c r="M41" s="2"/>
      <c r="N41" s="2"/>
    </row>
    <row r="42" spans="2:14" x14ac:dyDescent="0.3">
      <c r="B42" s="31" t="s">
        <v>191</v>
      </c>
      <c r="C42" s="32"/>
      <c r="D42" s="32"/>
      <c r="E42" s="32"/>
      <c r="F42" s="32"/>
      <c r="G42" s="32"/>
      <c r="H42" s="31" t="s">
        <v>192</v>
      </c>
      <c r="I42" s="2"/>
      <c r="J42" s="2"/>
      <c r="K42" s="2"/>
      <c r="L42" s="2"/>
      <c r="M42" s="2"/>
      <c r="N42" s="2"/>
    </row>
    <row r="43" spans="2:14" x14ac:dyDescent="0.3">
      <c r="B43" s="32" t="s">
        <v>164</v>
      </c>
      <c r="C43" s="32"/>
      <c r="D43" s="32"/>
      <c r="E43" s="32"/>
      <c r="F43" s="32"/>
      <c r="G43" s="32"/>
      <c r="H43" s="32"/>
      <c r="I43" s="2"/>
      <c r="J43" s="2"/>
      <c r="K43" s="2"/>
      <c r="L43" s="2"/>
      <c r="M43" s="2"/>
      <c r="N43" s="2"/>
    </row>
    <row r="44" spans="2:14" x14ac:dyDescent="0.3">
      <c r="B44" s="32" t="s">
        <v>165</v>
      </c>
      <c r="C44" s="32"/>
      <c r="D44" s="32" t="s">
        <v>168</v>
      </c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2:14" x14ac:dyDescent="0.3">
      <c r="B45" s="32" t="s">
        <v>166</v>
      </c>
      <c r="C45" s="32"/>
      <c r="D45" s="32" t="s">
        <v>169</v>
      </c>
      <c r="E45" s="2"/>
      <c r="F45" s="2"/>
      <c r="G45" s="2"/>
      <c r="H45" s="2"/>
      <c r="I45" s="2"/>
      <c r="J45" s="2"/>
      <c r="K45" s="2"/>
      <c r="L45" s="2"/>
      <c r="M45" s="2"/>
      <c r="N45" s="2"/>
    </row>
    <row r="46" spans="2:14" x14ac:dyDescent="0.3">
      <c r="B46" s="32" t="s">
        <v>167</v>
      </c>
      <c r="C46" s="32"/>
      <c r="D46" s="32" t="s">
        <v>170</v>
      </c>
      <c r="E46" s="2"/>
      <c r="F46" s="2"/>
      <c r="G46" s="2"/>
      <c r="H46" s="2"/>
      <c r="I46" s="2"/>
      <c r="J46" s="2"/>
      <c r="K46" s="2"/>
      <c r="L46" s="2"/>
      <c r="M46" s="2"/>
      <c r="N46" s="2"/>
    </row>
    <row r="47" spans="2:14" x14ac:dyDescent="0.3">
      <c r="B47" s="32" t="s">
        <v>195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</row>
    <row r="48" spans="2:14" x14ac:dyDescent="0.3">
      <c r="B48" s="31" t="s">
        <v>196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</row>
    <row r="49" spans="2:14" x14ac:dyDescent="0.3">
      <c r="B49" s="32" t="s">
        <v>197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</row>
    <row r="50" spans="2:14" x14ac:dyDescent="0.3">
      <c r="B50" s="33" t="s">
        <v>198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</row>
    <row r="51" spans="2:14" x14ac:dyDescent="0.3">
      <c r="B51" s="32" t="s">
        <v>199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</row>
    <row r="52" spans="2:14" x14ac:dyDescent="0.3">
      <c r="B52" s="31" t="s">
        <v>200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</row>
    <row r="53" spans="2:14" x14ac:dyDescent="0.3">
      <c r="B53" s="2" t="s">
        <v>201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2:14" x14ac:dyDescent="0.3">
      <c r="B54" s="2" t="s">
        <v>202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2:14" x14ac:dyDescent="0.3">
      <c r="B55" s="2" t="s">
        <v>203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</row>
    <row r="56" spans="2:14" x14ac:dyDescent="0.3">
      <c r="B56" s="2" t="s">
        <v>204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</row>
    <row r="57" spans="2:14" x14ac:dyDescent="0.3">
      <c r="B57" s="2" t="s">
        <v>205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2:14" x14ac:dyDescent="0.3">
      <c r="B58" s="2" t="s">
        <v>206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2:14" x14ac:dyDescent="0.3">
      <c r="B59" s="2" t="s">
        <v>207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2:14" x14ac:dyDescent="0.3">
      <c r="B60" s="2" t="s">
        <v>208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1" spans="2:14" x14ac:dyDescent="0.3">
      <c r="B61" s="2" t="s">
        <v>209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</row>
    <row r="62" spans="2:14" x14ac:dyDescent="0.3">
      <c r="B62" s="2" t="s">
        <v>210</v>
      </c>
      <c r="C62" s="2"/>
      <c r="D62" s="2" t="s">
        <v>168</v>
      </c>
      <c r="E62" s="2"/>
      <c r="F62" s="2"/>
      <c r="G62" s="2"/>
      <c r="H62" s="2"/>
      <c r="I62" s="2"/>
      <c r="J62" s="2"/>
      <c r="K62" s="2"/>
      <c r="L62" s="2"/>
      <c r="M62" s="2"/>
      <c r="N62" s="2"/>
    </row>
    <row r="63" spans="2:14" x14ac:dyDescent="0.3">
      <c r="B63" s="2" t="s">
        <v>211</v>
      </c>
      <c r="C63" s="2"/>
      <c r="D63" s="2" t="s">
        <v>169</v>
      </c>
      <c r="E63" s="2"/>
      <c r="F63" s="2"/>
      <c r="G63" s="2"/>
      <c r="H63" s="2"/>
      <c r="I63" s="2"/>
      <c r="J63" s="2"/>
      <c r="K63" s="2"/>
      <c r="L63" s="2"/>
      <c r="M63" s="2"/>
      <c r="N63" s="2"/>
    </row>
    <row r="64" spans="2:14" x14ac:dyDescent="0.3">
      <c r="B64" s="2" t="s">
        <v>212</v>
      </c>
      <c r="C64" s="2"/>
      <c r="D64" s="2" t="s">
        <v>170</v>
      </c>
      <c r="E64" s="2"/>
      <c r="F64" s="2"/>
      <c r="G64" s="2"/>
      <c r="H64" s="2"/>
      <c r="I64" s="2"/>
      <c r="J64" s="2"/>
      <c r="K64" s="2"/>
      <c r="L64" s="2"/>
      <c r="M64" s="2"/>
      <c r="N64" s="2"/>
    </row>
    <row r="65" spans="2:14" x14ac:dyDescent="0.3">
      <c r="B65" s="2" t="s">
        <v>213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2:14" x14ac:dyDescent="0.3">
      <c r="B66" s="2" t="s">
        <v>214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</row>
    <row r="67" spans="2:14" x14ac:dyDescent="0.3">
      <c r="B67" s="2" t="s">
        <v>215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</row>
    <row r="68" spans="2:14" x14ac:dyDescent="0.3">
      <c r="B68" s="2" t="s">
        <v>216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</row>
    <row r="69" spans="2:14" x14ac:dyDescent="0.3">
      <c r="B69" s="2" t="s">
        <v>217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</row>
    <row r="70" spans="2:14" x14ac:dyDescent="0.3">
      <c r="B70" s="2" t="s">
        <v>218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</row>
    <row r="71" spans="2:14" x14ac:dyDescent="0.3">
      <c r="B71" s="2" t="s">
        <v>219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</row>
    <row r="72" spans="2:14" x14ac:dyDescent="0.3">
      <c r="B72" s="2" t="s">
        <v>220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</row>
    <row r="73" spans="2:14" x14ac:dyDescent="0.3">
      <c r="B73" s="2" t="s">
        <v>221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</row>
    <row r="74" spans="2:14" x14ac:dyDescent="0.3">
      <c r="B74" s="2" t="s">
        <v>222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</row>
    <row r="75" spans="2:14" x14ac:dyDescent="0.3">
      <c r="B75" s="2" t="s">
        <v>223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</row>
    <row r="76" spans="2:14" x14ac:dyDescent="0.3">
      <c r="B76" s="2" t="s">
        <v>224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</row>
    <row r="77" spans="2:14" x14ac:dyDescent="0.3"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</row>
    <row r="78" spans="2:14" x14ac:dyDescent="0.3"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</row>
    <row r="79" spans="2:14" x14ac:dyDescent="0.3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</row>
  </sheetData>
  <phoneticPr fontId="2" type="noConversion"/>
  <conditionalFormatting sqref="B1:N52">
    <cfRule type="expression" dxfId="1" priority="4">
      <formula>MOD(ROW(),2)=0</formula>
    </cfRule>
  </conditionalFormatting>
  <conditionalFormatting sqref="B53:N79">
    <cfRule type="expression" dxfId="0" priority="1">
      <formula>MOD(ROW(),2)=0</formula>
    </cfRule>
  </conditionalFormatting>
  <printOptions horizontalCentered="1"/>
  <pageMargins left="0.23" right="0.21" top="0.74803149606299213" bottom="0.41" header="0.31496062992125984" footer="0.31496062992125984"/>
  <pageSetup paperSize="9" scale="85" orientation="portrait" verticalDpi="0" r:id="rId1"/>
  <rowBreaks count="1" manualBreakCount="1">
    <brk id="46" min="1" max="7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"/>
  <sheetViews>
    <sheetView workbookViewId="0">
      <selection sqref="A1:H1"/>
    </sheetView>
  </sheetViews>
  <sheetFormatPr defaultRowHeight="16.5" outlineLevelRow="3" x14ac:dyDescent="0.3"/>
  <cols>
    <col min="1" max="1" width="9" customWidth="1"/>
    <col min="2" max="2" width="14" bestFit="1" customWidth="1"/>
    <col min="3" max="8" width="9" customWidth="1"/>
  </cols>
  <sheetData>
    <row r="1" spans="1:8" ht="20.25" x14ac:dyDescent="0.3">
      <c r="A1" s="35" t="s">
        <v>17</v>
      </c>
      <c r="B1" s="35"/>
      <c r="C1" s="35"/>
      <c r="D1" s="35"/>
      <c r="E1" s="35"/>
      <c r="F1" s="35"/>
      <c r="G1" s="35"/>
      <c r="H1" s="35"/>
    </row>
    <row r="3" spans="1:8" x14ac:dyDescent="0.3">
      <c r="A3" s="3" t="s">
        <v>18</v>
      </c>
      <c r="B3" s="3" t="s">
        <v>2</v>
      </c>
      <c r="C3" s="3" t="s">
        <v>19</v>
      </c>
      <c r="D3" s="3" t="s">
        <v>20</v>
      </c>
      <c r="E3" s="3" t="s">
        <v>21</v>
      </c>
      <c r="F3" s="3" t="s">
        <v>22</v>
      </c>
      <c r="G3" s="3" t="s">
        <v>23</v>
      </c>
      <c r="H3" s="3" t="s">
        <v>24</v>
      </c>
    </row>
    <row r="4" spans="1:8" outlineLevel="3" x14ac:dyDescent="0.3">
      <c r="A4" s="3" t="s">
        <v>25</v>
      </c>
      <c r="B4" s="3" t="s">
        <v>26</v>
      </c>
      <c r="C4" s="10">
        <v>35</v>
      </c>
      <c r="D4" s="4">
        <v>1200</v>
      </c>
      <c r="E4" s="5">
        <v>0.7</v>
      </c>
      <c r="F4" s="4">
        <v>29400</v>
      </c>
      <c r="G4" s="4">
        <v>40740</v>
      </c>
      <c r="H4" s="4">
        <v>11340</v>
      </c>
    </row>
    <row r="5" spans="1:8" outlineLevel="3" x14ac:dyDescent="0.3">
      <c r="A5" s="3" t="s">
        <v>33</v>
      </c>
      <c r="B5" s="3" t="s">
        <v>26</v>
      </c>
      <c r="C5" s="10">
        <v>25</v>
      </c>
      <c r="D5" s="4">
        <v>1200</v>
      </c>
      <c r="E5" s="5">
        <v>0.7</v>
      </c>
      <c r="F5" s="4">
        <v>21000</v>
      </c>
      <c r="G5" s="4">
        <v>30000</v>
      </c>
      <c r="H5" s="4">
        <v>9000</v>
      </c>
    </row>
    <row r="6" spans="1:8" outlineLevel="2" x14ac:dyDescent="0.3">
      <c r="A6" s="3"/>
      <c r="B6" s="20" t="s">
        <v>144</v>
      </c>
      <c r="C6" s="10"/>
      <c r="D6" s="4"/>
      <c r="E6" s="5"/>
      <c r="F6" s="4">
        <f>SUBTOTAL(5,F4:F5)</f>
        <v>21000</v>
      </c>
      <c r="G6" s="4"/>
      <c r="H6" s="4">
        <f>SUBTOTAL(5,H4:H5)</f>
        <v>9000</v>
      </c>
    </row>
    <row r="7" spans="1:8" outlineLevel="1" x14ac:dyDescent="0.3">
      <c r="A7" s="3"/>
      <c r="B7" s="20" t="s">
        <v>140</v>
      </c>
      <c r="C7" s="10"/>
      <c r="D7" s="4"/>
      <c r="E7" s="5"/>
      <c r="F7" s="4">
        <f>SUBTOTAL(4,F4:F5)</f>
        <v>29400</v>
      </c>
      <c r="G7" s="4"/>
      <c r="H7" s="4">
        <f>SUBTOTAL(4,H4:H5)</f>
        <v>11340</v>
      </c>
    </row>
    <row r="8" spans="1:8" outlineLevel="3" x14ac:dyDescent="0.3">
      <c r="A8" s="3" t="s">
        <v>29</v>
      </c>
      <c r="B8" s="3" t="s">
        <v>30</v>
      </c>
      <c r="C8" s="10">
        <v>120</v>
      </c>
      <c r="D8" s="4">
        <v>600</v>
      </c>
      <c r="E8" s="5">
        <v>0.55000000000000004</v>
      </c>
      <c r="F8" s="4">
        <v>39600</v>
      </c>
      <c r="G8" s="4">
        <v>64800</v>
      </c>
      <c r="H8" s="4">
        <v>25200</v>
      </c>
    </row>
    <row r="9" spans="1:8" outlineLevel="3" x14ac:dyDescent="0.3">
      <c r="A9" s="3" t="s">
        <v>32</v>
      </c>
      <c r="B9" s="3" t="s">
        <v>30</v>
      </c>
      <c r="C9" s="10">
        <v>60</v>
      </c>
      <c r="D9" s="4">
        <v>500</v>
      </c>
      <c r="E9" s="5">
        <v>0.55000000000000004</v>
      </c>
      <c r="F9" s="4">
        <v>16500</v>
      </c>
      <c r="G9" s="4">
        <v>28500</v>
      </c>
      <c r="H9" s="4">
        <v>12000</v>
      </c>
    </row>
    <row r="10" spans="1:8" outlineLevel="3" x14ac:dyDescent="0.3">
      <c r="A10" s="3" t="s">
        <v>35</v>
      </c>
      <c r="B10" s="3" t="s">
        <v>30</v>
      </c>
      <c r="C10" s="10">
        <v>110</v>
      </c>
      <c r="D10" s="4">
        <v>500</v>
      </c>
      <c r="E10" s="5">
        <v>0.55000000000000004</v>
      </c>
      <c r="F10" s="4">
        <v>30250</v>
      </c>
      <c r="G10" s="4">
        <v>49500</v>
      </c>
      <c r="H10" s="4">
        <v>19250</v>
      </c>
    </row>
    <row r="11" spans="1:8" outlineLevel="2" x14ac:dyDescent="0.3">
      <c r="A11" s="3"/>
      <c r="B11" s="20" t="s">
        <v>145</v>
      </c>
      <c r="C11" s="10"/>
      <c r="D11" s="4"/>
      <c r="E11" s="5"/>
      <c r="F11" s="4">
        <f>SUBTOTAL(5,F8:F10)</f>
        <v>16500</v>
      </c>
      <c r="G11" s="4"/>
      <c r="H11" s="4">
        <f>SUBTOTAL(5,H8:H10)</f>
        <v>12000</v>
      </c>
    </row>
    <row r="12" spans="1:8" outlineLevel="1" x14ac:dyDescent="0.3">
      <c r="A12" s="3"/>
      <c r="B12" s="20" t="s">
        <v>141</v>
      </c>
      <c r="C12" s="10"/>
      <c r="D12" s="4"/>
      <c r="E12" s="5"/>
      <c r="F12" s="4">
        <f>SUBTOTAL(4,F8:F10)</f>
        <v>39600</v>
      </c>
      <c r="G12" s="4"/>
      <c r="H12" s="4">
        <f>SUBTOTAL(4,H8:H10)</f>
        <v>25200</v>
      </c>
    </row>
    <row r="13" spans="1:8" outlineLevel="3" x14ac:dyDescent="0.3">
      <c r="A13" s="3" t="s">
        <v>27</v>
      </c>
      <c r="B13" s="3" t="s">
        <v>28</v>
      </c>
      <c r="C13" s="10">
        <v>60</v>
      </c>
      <c r="D13" s="4">
        <v>800</v>
      </c>
      <c r="E13" s="5">
        <v>0.6</v>
      </c>
      <c r="F13" s="4">
        <v>28800</v>
      </c>
      <c r="G13" s="4">
        <v>45600</v>
      </c>
      <c r="H13" s="4">
        <v>16800</v>
      </c>
    </row>
    <row r="14" spans="1:8" outlineLevel="3" x14ac:dyDescent="0.3">
      <c r="A14" s="3" t="s">
        <v>31</v>
      </c>
      <c r="B14" s="3" t="s">
        <v>28</v>
      </c>
      <c r="C14" s="10">
        <v>10</v>
      </c>
      <c r="D14" s="4">
        <v>800</v>
      </c>
      <c r="E14" s="5">
        <v>0.7</v>
      </c>
      <c r="F14" s="4">
        <v>5600</v>
      </c>
      <c r="G14" s="4">
        <v>8000</v>
      </c>
      <c r="H14" s="4">
        <v>2400</v>
      </c>
    </row>
    <row r="15" spans="1:8" outlineLevel="3" x14ac:dyDescent="0.3">
      <c r="A15" s="3" t="s">
        <v>31</v>
      </c>
      <c r="B15" s="3" t="s">
        <v>28</v>
      </c>
      <c r="C15" s="10">
        <v>34</v>
      </c>
      <c r="D15" s="4">
        <v>600</v>
      </c>
      <c r="E15" s="5">
        <v>0.6</v>
      </c>
      <c r="F15" s="4">
        <v>12240</v>
      </c>
      <c r="G15" s="4">
        <v>19788</v>
      </c>
      <c r="H15" s="4">
        <v>7548</v>
      </c>
    </row>
    <row r="16" spans="1:8" outlineLevel="3" x14ac:dyDescent="0.3">
      <c r="A16" s="3" t="s">
        <v>34</v>
      </c>
      <c r="B16" s="3" t="s">
        <v>28</v>
      </c>
      <c r="C16" s="10">
        <v>54</v>
      </c>
      <c r="D16" s="4">
        <v>800</v>
      </c>
      <c r="E16" s="5">
        <v>0.6</v>
      </c>
      <c r="F16" s="4">
        <v>25920</v>
      </c>
      <c r="G16" s="4">
        <v>41040</v>
      </c>
      <c r="H16" s="4">
        <v>15120</v>
      </c>
    </row>
    <row r="17" spans="1:8" outlineLevel="2" x14ac:dyDescent="0.3">
      <c r="A17" s="21"/>
      <c r="B17" s="25" t="s">
        <v>146</v>
      </c>
      <c r="C17" s="22"/>
      <c r="D17" s="23"/>
      <c r="E17" s="24"/>
      <c r="F17" s="23">
        <f>SUBTOTAL(5,F13:F16)</f>
        <v>5600</v>
      </c>
      <c r="G17" s="23"/>
      <c r="H17" s="23">
        <f>SUBTOTAL(5,H13:H16)</f>
        <v>2400</v>
      </c>
    </row>
    <row r="18" spans="1:8" outlineLevel="1" x14ac:dyDescent="0.3">
      <c r="A18" s="21"/>
      <c r="B18" s="25" t="s">
        <v>142</v>
      </c>
      <c r="C18" s="22"/>
      <c r="D18" s="23"/>
      <c r="E18" s="24"/>
      <c r="F18" s="23">
        <f>SUBTOTAL(4,F13:F16)</f>
        <v>28800</v>
      </c>
      <c r="G18" s="23"/>
      <c r="H18" s="23">
        <f>SUBTOTAL(4,H13:H16)</f>
        <v>16800</v>
      </c>
    </row>
    <row r="19" spans="1:8" x14ac:dyDescent="0.3">
      <c r="A19" s="21"/>
      <c r="B19" s="25" t="s">
        <v>147</v>
      </c>
      <c r="C19" s="22"/>
      <c r="D19" s="23"/>
      <c r="E19" s="24"/>
      <c r="F19" s="23">
        <f>SUBTOTAL(5,F4:F16)</f>
        <v>5600</v>
      </c>
      <c r="G19" s="23"/>
      <c r="H19" s="23">
        <f>SUBTOTAL(5,H4:H16)</f>
        <v>2400</v>
      </c>
    </row>
    <row r="20" spans="1:8" x14ac:dyDescent="0.3">
      <c r="A20" s="21"/>
      <c r="B20" s="25" t="s">
        <v>143</v>
      </c>
      <c r="C20" s="22"/>
      <c r="D20" s="23"/>
      <c r="E20" s="24"/>
      <c r="F20" s="23">
        <f>SUBTOTAL(4,F4:F16)</f>
        <v>39600</v>
      </c>
      <c r="G20" s="23"/>
      <c r="H20" s="23">
        <f>SUBTOTAL(4,H4:H16)</f>
        <v>25200</v>
      </c>
    </row>
  </sheetData>
  <sortState ref="A4:H12">
    <sortCondition ref="B4:B12"/>
  </sortState>
  <mergeCells count="1">
    <mergeCell ref="A1:H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sqref="A1:H1"/>
    </sheetView>
  </sheetViews>
  <sheetFormatPr defaultRowHeight="16.5" x14ac:dyDescent="0.3"/>
  <cols>
    <col min="1" max="2" width="9" customWidth="1"/>
    <col min="3" max="3" width="10.75" customWidth="1"/>
    <col min="4" max="5" width="9.25" customWidth="1"/>
    <col min="6" max="7" width="10.75" customWidth="1"/>
    <col min="8" max="8" width="11" customWidth="1"/>
  </cols>
  <sheetData>
    <row r="1" spans="1:8" ht="20.25" x14ac:dyDescent="0.3">
      <c r="A1" s="35" t="s">
        <v>36</v>
      </c>
      <c r="B1" s="35"/>
      <c r="C1" s="35"/>
      <c r="D1" s="35"/>
      <c r="E1" s="35"/>
      <c r="F1" s="35"/>
      <c r="G1" s="35"/>
      <c r="H1" s="35"/>
    </row>
    <row r="2" spans="1:8" ht="17.25" thickBot="1" x14ac:dyDescent="0.35"/>
    <row r="3" spans="1:8" x14ac:dyDescent="0.3">
      <c r="A3" s="11" t="s">
        <v>37</v>
      </c>
      <c r="B3" s="12" t="s">
        <v>38</v>
      </c>
      <c r="C3" s="12" t="s">
        <v>39</v>
      </c>
      <c r="D3" s="12" t="s">
        <v>40</v>
      </c>
      <c r="E3" s="12" t="s">
        <v>41</v>
      </c>
      <c r="F3" s="12" t="s">
        <v>42</v>
      </c>
      <c r="G3" s="12" t="s">
        <v>43</v>
      </c>
      <c r="H3" s="13" t="s">
        <v>44</v>
      </c>
    </row>
    <row r="4" spans="1:8" ht="17.25" thickBot="1" x14ac:dyDescent="0.35">
      <c r="A4" s="8">
        <v>6000</v>
      </c>
      <c r="B4" s="9">
        <v>1000</v>
      </c>
      <c r="C4" s="9">
        <v>1000000</v>
      </c>
      <c r="D4" s="9">
        <v>500000</v>
      </c>
      <c r="E4" s="9">
        <v>500000</v>
      </c>
      <c r="F4" s="9">
        <f>A4*B4</f>
        <v>6000000</v>
      </c>
      <c r="G4" s="9">
        <f>F4-C4-D4-E4</f>
        <v>4000000</v>
      </c>
      <c r="H4" s="14">
        <f>G4/F4</f>
        <v>0.66666666666666663</v>
      </c>
    </row>
  </sheetData>
  <mergeCells count="1">
    <mergeCell ref="A1:H1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13"/>
  <sheetViews>
    <sheetView workbookViewId="0">
      <selection sqref="A1:F1"/>
    </sheetView>
  </sheetViews>
  <sheetFormatPr defaultRowHeight="16.5" x14ac:dyDescent="0.3"/>
  <cols>
    <col min="1" max="1" width="11" customWidth="1"/>
    <col min="2" max="2" width="9" customWidth="1"/>
    <col min="3" max="3" width="11" customWidth="1"/>
    <col min="4" max="6" width="9" customWidth="1"/>
  </cols>
  <sheetData>
    <row r="1" spans="1:7" ht="20.25" x14ac:dyDescent="0.3">
      <c r="A1" s="35" t="s">
        <v>45</v>
      </c>
      <c r="B1" s="35"/>
      <c r="C1" s="35"/>
      <c r="D1" s="35"/>
      <c r="E1" s="35"/>
      <c r="F1" s="35"/>
    </row>
    <row r="3" spans="1:7" ht="17.25" thickBot="1" x14ac:dyDescent="0.35">
      <c r="A3" s="7" t="s">
        <v>46</v>
      </c>
      <c r="B3" s="7" t="s">
        <v>47</v>
      </c>
      <c r="C3" s="7" t="s">
        <v>48</v>
      </c>
      <c r="D3" s="7" t="s">
        <v>49</v>
      </c>
      <c r="E3" s="7" t="s">
        <v>19</v>
      </c>
      <c r="F3" s="7" t="s">
        <v>50</v>
      </c>
    </row>
    <row r="4" spans="1:7" ht="17.25" thickTop="1" x14ac:dyDescent="0.3">
      <c r="A4" s="6" t="s">
        <v>51</v>
      </c>
      <c r="B4" s="6" t="s">
        <v>52</v>
      </c>
      <c r="C4" s="6" t="s">
        <v>53</v>
      </c>
      <c r="D4" s="15">
        <v>500</v>
      </c>
      <c r="E4" s="15">
        <v>450</v>
      </c>
      <c r="F4" s="15">
        <v>50</v>
      </c>
    </row>
    <row r="5" spans="1:7" x14ac:dyDescent="0.3">
      <c r="A5" s="3" t="s">
        <v>54</v>
      </c>
      <c r="B5" s="3" t="s">
        <v>55</v>
      </c>
      <c r="C5" s="3" t="s">
        <v>56</v>
      </c>
      <c r="D5" s="10">
        <v>350</v>
      </c>
      <c r="E5" s="10">
        <v>240</v>
      </c>
      <c r="F5" s="10">
        <v>30</v>
      </c>
    </row>
    <row r="6" spans="1:7" x14ac:dyDescent="0.3">
      <c r="A6" s="3" t="s">
        <v>57</v>
      </c>
      <c r="B6" s="3" t="s">
        <v>58</v>
      </c>
      <c r="C6" s="3" t="s">
        <v>59</v>
      </c>
      <c r="D6" s="10">
        <v>300</v>
      </c>
      <c r="E6" s="10">
        <v>280</v>
      </c>
      <c r="F6" s="10">
        <v>20</v>
      </c>
    </row>
    <row r="7" spans="1:7" x14ac:dyDescent="0.3">
      <c r="A7" s="3" t="s">
        <v>60</v>
      </c>
      <c r="B7" s="3" t="s">
        <v>61</v>
      </c>
      <c r="C7" s="3" t="s">
        <v>62</v>
      </c>
      <c r="D7" s="10">
        <v>300</v>
      </c>
      <c r="E7" s="10">
        <v>120</v>
      </c>
      <c r="F7" s="10">
        <v>10</v>
      </c>
    </row>
    <row r="8" spans="1:7" x14ac:dyDescent="0.3">
      <c r="A8" s="3" t="s">
        <v>63</v>
      </c>
      <c r="B8" s="3" t="s">
        <v>64</v>
      </c>
      <c r="C8" s="3" t="s">
        <v>65</v>
      </c>
      <c r="D8" s="10">
        <v>250</v>
      </c>
      <c r="E8" s="10">
        <v>230</v>
      </c>
      <c r="F8" s="10">
        <v>20</v>
      </c>
    </row>
    <row r="9" spans="1:7" x14ac:dyDescent="0.3">
      <c r="A9" s="3" t="s">
        <v>54</v>
      </c>
      <c r="B9" s="3" t="s">
        <v>55</v>
      </c>
      <c r="C9" s="3" t="s">
        <v>66</v>
      </c>
      <c r="D9" s="10">
        <v>250</v>
      </c>
      <c r="E9" s="10">
        <v>230</v>
      </c>
      <c r="F9" s="10">
        <v>20</v>
      </c>
    </row>
    <row r="10" spans="1:7" x14ac:dyDescent="0.3">
      <c r="A10" s="3" t="s">
        <v>57</v>
      </c>
      <c r="B10" s="3" t="s">
        <v>58</v>
      </c>
      <c r="C10" s="3" t="s">
        <v>67</v>
      </c>
      <c r="D10" s="10">
        <v>200</v>
      </c>
      <c r="E10" s="10">
        <v>175</v>
      </c>
      <c r="F10" s="10">
        <v>25</v>
      </c>
    </row>
    <row r="11" spans="1:7" x14ac:dyDescent="0.3">
      <c r="A11" s="3" t="s">
        <v>60</v>
      </c>
      <c r="B11" s="3" t="s">
        <v>61</v>
      </c>
      <c r="C11" s="3" t="s">
        <v>68</v>
      </c>
      <c r="D11" s="10">
        <v>200</v>
      </c>
      <c r="E11" s="10">
        <v>250</v>
      </c>
      <c r="F11" s="10">
        <v>30</v>
      </c>
    </row>
    <row r="12" spans="1:7" x14ac:dyDescent="0.3">
      <c r="A12" s="3" t="s">
        <v>51</v>
      </c>
      <c r="B12" s="3" t="s">
        <v>52</v>
      </c>
      <c r="C12" s="3" t="s">
        <v>69</v>
      </c>
      <c r="D12" s="10">
        <v>150</v>
      </c>
      <c r="E12" s="10">
        <v>140</v>
      </c>
      <c r="F12" s="10">
        <v>10</v>
      </c>
    </row>
    <row r="13" spans="1:7" x14ac:dyDescent="0.3">
      <c r="A13" s="36" t="s">
        <v>13</v>
      </c>
      <c r="B13" s="37"/>
      <c r="C13" s="38"/>
      <c r="D13" s="27">
        <f>SUM(D4:D12)</f>
        <v>2500</v>
      </c>
      <c r="E13" s="27">
        <f t="shared" ref="E13:F13" si="0">SUM(E4:E12)</f>
        <v>2115</v>
      </c>
      <c r="F13" s="27">
        <f t="shared" si="0"/>
        <v>215</v>
      </c>
      <c r="G13" s="26"/>
    </row>
  </sheetData>
  <mergeCells count="2">
    <mergeCell ref="A13:C13"/>
    <mergeCell ref="A1:F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합계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>
      <selection sqref="A1:E1"/>
    </sheetView>
  </sheetViews>
  <sheetFormatPr defaultRowHeight="16.5" x14ac:dyDescent="0.3"/>
  <cols>
    <col min="1" max="1" width="11.125" bestFit="1" customWidth="1"/>
    <col min="2" max="3" width="9" customWidth="1"/>
    <col min="4" max="5" width="9.125" customWidth="1"/>
  </cols>
  <sheetData>
    <row r="1" spans="1:5" ht="20.25" x14ac:dyDescent="0.3">
      <c r="A1" s="35" t="s">
        <v>70</v>
      </c>
      <c r="B1" s="35"/>
      <c r="C1" s="35"/>
      <c r="D1" s="35"/>
      <c r="E1" s="35"/>
    </row>
    <row r="3" spans="1:5" x14ac:dyDescent="0.3">
      <c r="A3" s="3" t="s">
        <v>71</v>
      </c>
      <c r="B3" s="3" t="s">
        <v>72</v>
      </c>
      <c r="C3" s="3" t="s">
        <v>19</v>
      </c>
      <c r="D3" s="3" t="s">
        <v>73</v>
      </c>
      <c r="E3" s="3" t="s">
        <v>15</v>
      </c>
    </row>
    <row r="4" spans="1:5" x14ac:dyDescent="0.3">
      <c r="A4" s="28">
        <v>44562</v>
      </c>
      <c r="B4" s="3" t="s">
        <v>74</v>
      </c>
      <c r="C4" s="3">
        <v>7</v>
      </c>
      <c r="D4" s="29">
        <v>1200</v>
      </c>
      <c r="E4" s="29">
        <f>C4*D4</f>
        <v>8400</v>
      </c>
    </row>
    <row r="5" spans="1:5" x14ac:dyDescent="0.3">
      <c r="A5" s="28">
        <v>44593</v>
      </c>
      <c r="B5" s="3" t="s">
        <v>75</v>
      </c>
      <c r="C5" s="3">
        <v>12</v>
      </c>
      <c r="D5" s="29">
        <v>1500</v>
      </c>
      <c r="E5" s="29">
        <f t="shared" ref="E5:E8" si="0">C5*D5</f>
        <v>18000</v>
      </c>
    </row>
    <row r="6" spans="1:5" x14ac:dyDescent="0.3">
      <c r="A6" s="28">
        <v>44621</v>
      </c>
      <c r="B6" s="3" t="s">
        <v>76</v>
      </c>
      <c r="C6" s="3">
        <v>8</v>
      </c>
      <c r="D6" s="29">
        <v>400</v>
      </c>
      <c r="E6" s="29">
        <f t="shared" si="0"/>
        <v>3200</v>
      </c>
    </row>
    <row r="7" spans="1:5" x14ac:dyDescent="0.3">
      <c r="A7" s="28">
        <v>44652</v>
      </c>
      <c r="B7" s="3" t="s">
        <v>77</v>
      </c>
      <c r="C7" s="3">
        <v>9</v>
      </c>
      <c r="D7" s="29">
        <v>700</v>
      </c>
      <c r="E7" s="29">
        <f t="shared" si="0"/>
        <v>6300</v>
      </c>
    </row>
    <row r="8" spans="1:5" x14ac:dyDescent="0.3">
      <c r="A8" s="28">
        <v>44682</v>
      </c>
      <c r="B8" s="3" t="s">
        <v>76</v>
      </c>
      <c r="C8" s="3">
        <v>10</v>
      </c>
      <c r="D8" s="29">
        <v>400</v>
      </c>
      <c r="E8" s="29">
        <f t="shared" si="0"/>
        <v>4000</v>
      </c>
    </row>
  </sheetData>
  <mergeCells count="1">
    <mergeCell ref="A1:E1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계산작업!Print_Area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USER</cp:lastModifiedBy>
  <cp:lastPrinted>2023-10-12T08:13:22Z</cp:lastPrinted>
  <dcterms:created xsi:type="dcterms:W3CDTF">2020-05-20T07:10:10Z</dcterms:created>
  <dcterms:modified xsi:type="dcterms:W3CDTF">2023-10-12T08:13:54Z</dcterms:modified>
</cp:coreProperties>
</file>